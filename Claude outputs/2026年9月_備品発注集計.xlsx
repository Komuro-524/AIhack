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発注明細" sheetId="1" state="visible" r:id="rId3"/>
    <sheet name="予算比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<sst xmlns="http://schemas.openxmlformats.org/spreadsheetml/2006/main" count="1325" uniqueCount="289">
  <si>
    <t xml:space="preserve">発注日</t>
  </si>
  <si>
    <r>
      <rPr>
        <b val="true"/>
        <sz val="11"/>
        <color rgb="FFFFFFFF"/>
        <rFont val="Noto Sans CJK SC"/>
        <family val="2"/>
      </rPr>
      <t xml:space="preserve">発注</t>
    </r>
    <r>
      <rPr>
        <b val="true"/>
        <sz val="11"/>
        <color rgb="FFFFFFFF"/>
        <rFont val="Meiryo UI"/>
        <family val="0"/>
        <charset val="1"/>
      </rPr>
      <t xml:space="preserve">No</t>
    </r>
  </si>
  <si>
    <t xml:space="preserve">月</t>
  </si>
  <si>
    <t xml:space="preserve">部署</t>
  </si>
  <si>
    <t xml:space="preserve">品目区分</t>
  </si>
  <si>
    <t xml:space="preserve">品名</t>
  </si>
  <si>
    <t xml:space="preserve">数量</t>
  </si>
  <si>
    <t xml:space="preserve">単価</t>
  </si>
  <si>
    <t xml:space="preserve">金額</t>
  </si>
  <si>
    <t xml:space="preserve">仕入先</t>
  </si>
  <si>
    <t xml:space="preserve">申請者</t>
  </si>
  <si>
    <t xml:space="preserve">PO-202604-001</t>
  </si>
  <si>
    <t xml:space="preserve">総務部</t>
  </si>
  <si>
    <r>
      <rPr>
        <sz val="10"/>
        <rFont val="Meiryo UI"/>
        <family val="0"/>
        <charset val="1"/>
      </rPr>
      <t xml:space="preserve">OA</t>
    </r>
    <r>
      <rPr>
        <sz val="10"/>
        <rFont val="Noto Sans CJK SC"/>
        <family val="2"/>
      </rPr>
      <t xml:space="preserve">機器</t>
    </r>
  </si>
  <si>
    <r>
      <rPr>
        <sz val="10"/>
        <rFont val="Meiryo UI"/>
        <family val="0"/>
        <charset val="1"/>
      </rPr>
      <t xml:space="preserve">USB-C </t>
    </r>
    <r>
      <rPr>
        <sz val="10"/>
        <rFont val="Noto Sans CJK SC"/>
        <family val="2"/>
      </rPr>
      <t xml:space="preserve">ハブ </t>
    </r>
    <r>
      <rPr>
        <sz val="10"/>
        <rFont val="Meiryo UI"/>
        <family val="0"/>
        <charset val="1"/>
      </rPr>
      <t xml:space="preserve">7in1</t>
    </r>
  </si>
  <si>
    <t xml:space="preserve">サンプル物産</t>
  </si>
  <si>
    <t xml:space="preserve">藤代 咲良</t>
  </si>
  <si>
    <t xml:space="preserve">PO-202604-002</t>
  </si>
  <si>
    <t xml:space="preserve">マーケティング部</t>
  </si>
  <si>
    <t xml:space="preserve">衛生・飲料</t>
  </si>
  <si>
    <r>
      <rPr>
        <sz val="10"/>
        <rFont val="Noto Sans CJK SC"/>
        <family val="2"/>
      </rPr>
      <t xml:space="preserve">紙コップ </t>
    </r>
    <r>
      <rPr>
        <sz val="10"/>
        <rFont val="Meiryo UI"/>
        <family val="0"/>
        <charset val="1"/>
      </rPr>
      <t xml:space="preserve">7oz 1000</t>
    </r>
    <r>
      <rPr>
        <sz val="10"/>
        <rFont val="Noto Sans CJK SC"/>
        <family val="2"/>
      </rPr>
      <t xml:space="preserve">個</t>
    </r>
  </si>
  <si>
    <t xml:space="preserve">ネット通販</t>
  </si>
  <si>
    <t xml:space="preserve">千葉 陽菜</t>
  </si>
  <si>
    <t xml:space="preserve">PO-202604-003</t>
  </si>
  <si>
    <t xml:space="preserve">経理部</t>
  </si>
  <si>
    <r>
      <rPr>
        <sz val="10"/>
        <rFont val="Noto Sans CJK SC"/>
        <family val="2"/>
      </rPr>
      <t xml:space="preserve">ミネラルウォーター </t>
    </r>
    <r>
      <rPr>
        <sz val="10"/>
        <rFont val="Meiryo UI"/>
        <family val="0"/>
        <charset val="1"/>
      </rPr>
      <t xml:space="preserve">500ml 24</t>
    </r>
    <r>
      <rPr>
        <sz val="10"/>
        <rFont val="Noto Sans CJK SC"/>
        <family val="2"/>
      </rPr>
      <t xml:space="preserve">本</t>
    </r>
  </si>
  <si>
    <t xml:space="preserve">サンプル商事</t>
  </si>
  <si>
    <t xml:space="preserve">神谷 美月</t>
  </si>
  <si>
    <t xml:space="preserve">PO-202604-004</t>
  </si>
  <si>
    <t xml:space="preserve">開発部</t>
  </si>
  <si>
    <r>
      <rPr>
        <sz val="10"/>
        <rFont val="Noto Sans CJK SC"/>
        <family val="2"/>
      </rPr>
      <t xml:space="preserve">ノート</t>
    </r>
    <r>
      <rPr>
        <sz val="10"/>
        <rFont val="Meiryo UI"/>
        <family val="0"/>
        <charset val="1"/>
      </rPr>
      <t xml:space="preserve">PC</t>
    </r>
    <r>
      <rPr>
        <sz val="10"/>
        <rFont val="Noto Sans CJK SC"/>
        <family val="2"/>
      </rPr>
      <t xml:space="preserve">スタンド</t>
    </r>
  </si>
  <si>
    <t xml:space="preserve">桜庭 芽衣</t>
  </si>
  <si>
    <t xml:space="preserve">PO-202604-005</t>
  </si>
  <si>
    <t xml:space="preserve">事務用品</t>
  </si>
  <si>
    <r>
      <rPr>
        <sz val="10"/>
        <rFont val="Noto Sans CJK SC"/>
        <family val="2"/>
      </rPr>
      <t xml:space="preserve">ボールペン 黒 </t>
    </r>
    <r>
      <rPr>
        <sz val="10"/>
        <rFont val="Meiryo UI"/>
        <family val="0"/>
        <charset val="1"/>
      </rPr>
      <t xml:space="preserve">0.5mm 10</t>
    </r>
    <r>
      <rPr>
        <sz val="10"/>
        <rFont val="Noto Sans CJK SC"/>
        <family val="2"/>
      </rPr>
      <t xml:space="preserve">本入</t>
    </r>
  </si>
  <si>
    <t xml:space="preserve">PO-202604-006</t>
  </si>
  <si>
    <t xml:space="preserve">消耗品</t>
  </si>
  <si>
    <t xml:space="preserve">トナー 黒 大容量</t>
  </si>
  <si>
    <t xml:space="preserve">PO-202604-007</t>
  </si>
  <si>
    <t xml:space="preserve">営業部</t>
  </si>
  <si>
    <r>
      <rPr>
        <sz val="10"/>
        <rFont val="Meiryo UI"/>
        <family val="0"/>
        <charset val="1"/>
      </rPr>
      <t xml:space="preserve">Web</t>
    </r>
    <r>
      <rPr>
        <sz val="10"/>
        <rFont val="Noto Sans CJK SC"/>
        <family val="2"/>
      </rPr>
      <t xml:space="preserve">カメラ フル</t>
    </r>
    <r>
      <rPr>
        <sz val="10"/>
        <rFont val="Meiryo UI"/>
        <family val="0"/>
        <charset val="1"/>
      </rPr>
      <t xml:space="preserve">HD</t>
    </r>
  </si>
  <si>
    <t xml:space="preserve">星野 陸</t>
  </si>
  <si>
    <t xml:space="preserve">PO-202604-008</t>
  </si>
  <si>
    <t xml:space="preserve">企画部</t>
  </si>
  <si>
    <t xml:space="preserve">白石 結衣</t>
  </si>
  <si>
    <t xml:space="preserve">PO-202604-009</t>
  </si>
  <si>
    <t xml:space="preserve">PO-202604-010</t>
  </si>
  <si>
    <r>
      <rPr>
        <sz val="10"/>
        <rFont val="Noto Sans CJK SC"/>
        <family val="2"/>
      </rPr>
      <t xml:space="preserve">クリアファイル </t>
    </r>
    <r>
      <rPr>
        <sz val="10"/>
        <rFont val="Meiryo UI"/>
        <family val="0"/>
        <charset val="1"/>
      </rPr>
      <t xml:space="preserve">A4 100</t>
    </r>
    <r>
      <rPr>
        <sz val="10"/>
        <rFont val="Noto Sans CJK SC"/>
        <family val="2"/>
      </rPr>
      <t xml:space="preserve">枚</t>
    </r>
  </si>
  <si>
    <t xml:space="preserve">PO-202604-011</t>
  </si>
  <si>
    <r>
      <rPr>
        <sz val="10"/>
        <rFont val="Noto Sans CJK SC"/>
        <family val="2"/>
      </rPr>
      <t xml:space="preserve">ファイルボックス </t>
    </r>
    <r>
      <rPr>
        <sz val="10"/>
        <rFont val="Meiryo UI"/>
        <family val="0"/>
        <charset val="1"/>
      </rPr>
      <t xml:space="preserve">A4 5</t>
    </r>
    <r>
      <rPr>
        <sz val="10"/>
        <rFont val="Noto Sans CJK SC"/>
        <family val="2"/>
      </rPr>
      <t xml:space="preserve">個</t>
    </r>
  </si>
  <si>
    <t xml:space="preserve">PO-202604-012</t>
  </si>
  <si>
    <t xml:space="preserve">PO-202604-013</t>
  </si>
  <si>
    <r>
      <rPr>
        <sz val="10"/>
        <rFont val="Noto Sans CJK SC"/>
        <family val="2"/>
      </rPr>
      <t xml:space="preserve">ホッチキス針 </t>
    </r>
    <r>
      <rPr>
        <sz val="10"/>
        <rFont val="Meiryo UI"/>
        <family val="0"/>
        <charset val="1"/>
      </rPr>
      <t xml:space="preserve">No.10</t>
    </r>
  </si>
  <si>
    <t xml:space="preserve">PO-202604-014</t>
  </si>
  <si>
    <t xml:space="preserve">人事部</t>
  </si>
  <si>
    <t xml:space="preserve">松永 蒼</t>
  </si>
  <si>
    <t xml:space="preserve">PO-202604-015</t>
  </si>
  <si>
    <r>
      <rPr>
        <sz val="10"/>
        <rFont val="Noto Sans CJK SC"/>
        <family val="2"/>
      </rPr>
      <t xml:space="preserve">インクカートリッジ </t>
    </r>
    <r>
      <rPr>
        <sz val="10"/>
        <rFont val="Meiryo UI"/>
        <family val="0"/>
        <charset val="1"/>
      </rPr>
      <t xml:space="preserve">4</t>
    </r>
    <r>
      <rPr>
        <sz val="10"/>
        <rFont val="Noto Sans CJK SC"/>
        <family val="2"/>
      </rPr>
      <t xml:space="preserve">色</t>
    </r>
  </si>
  <si>
    <t xml:space="preserve">PO-202604-016</t>
  </si>
  <si>
    <r>
      <rPr>
        <sz val="10"/>
        <rFont val="Noto Sans CJK SC"/>
        <family val="2"/>
      </rPr>
      <t xml:space="preserve">付箋 </t>
    </r>
    <r>
      <rPr>
        <sz val="10"/>
        <rFont val="Meiryo UI"/>
        <family val="0"/>
        <charset val="1"/>
      </rPr>
      <t xml:space="preserve">75×75 20</t>
    </r>
    <r>
      <rPr>
        <sz val="10"/>
        <rFont val="Noto Sans CJK SC"/>
        <family val="2"/>
      </rPr>
      <t xml:space="preserve">冊</t>
    </r>
  </si>
  <si>
    <t xml:space="preserve">早坂 悠人</t>
  </si>
  <si>
    <t xml:space="preserve">PO-202604-017</t>
  </si>
  <si>
    <r>
      <rPr>
        <sz val="10"/>
        <rFont val="Noto Sans CJK SC"/>
        <family val="2"/>
      </rPr>
      <t xml:space="preserve">ラベルテープ </t>
    </r>
    <r>
      <rPr>
        <sz val="10"/>
        <rFont val="Meiryo UI"/>
        <family val="0"/>
        <charset val="1"/>
      </rPr>
      <t xml:space="preserve">12mm</t>
    </r>
  </si>
  <si>
    <t xml:space="preserve">PO-202604-018</t>
  </si>
  <si>
    <t xml:space="preserve">PO-202604-019</t>
  </si>
  <si>
    <t xml:space="preserve">情報システム部</t>
  </si>
  <si>
    <t xml:space="preserve">綾瀬 大輝</t>
  </si>
  <si>
    <t xml:space="preserve">PO-202604-020</t>
  </si>
  <si>
    <t xml:space="preserve">PO-202604-021</t>
  </si>
  <si>
    <t xml:space="preserve">PO-202604-022</t>
  </si>
  <si>
    <r>
      <rPr>
        <sz val="10"/>
        <rFont val="Meiryo UI"/>
        <family val="0"/>
        <charset val="1"/>
      </rPr>
      <t xml:space="preserve">A4</t>
    </r>
    <r>
      <rPr>
        <sz val="10"/>
        <rFont val="Noto Sans CJK SC"/>
        <family val="2"/>
      </rPr>
      <t xml:space="preserve">コピー用紙 </t>
    </r>
    <r>
      <rPr>
        <sz val="10"/>
        <rFont val="Meiryo UI"/>
        <family val="0"/>
        <charset val="1"/>
      </rPr>
      <t xml:space="preserve">500</t>
    </r>
    <r>
      <rPr>
        <sz val="10"/>
        <rFont val="Noto Sans CJK SC"/>
        <family val="2"/>
      </rPr>
      <t xml:space="preserve">枚</t>
    </r>
    <r>
      <rPr>
        <sz val="10"/>
        <rFont val="Meiryo UI"/>
        <family val="0"/>
        <charset val="1"/>
      </rPr>
      <t xml:space="preserve">×5</t>
    </r>
    <r>
      <rPr>
        <sz val="10"/>
        <rFont val="Noto Sans CJK SC"/>
        <family val="2"/>
      </rPr>
      <t xml:space="preserve">冊</t>
    </r>
  </si>
  <si>
    <t xml:space="preserve">PO-202604-023</t>
  </si>
  <si>
    <t xml:space="preserve">PO-202604-024</t>
  </si>
  <si>
    <t xml:space="preserve">PO-202604-025</t>
  </si>
  <si>
    <t xml:space="preserve">PO-202604-026</t>
  </si>
  <si>
    <t xml:space="preserve">PO-202604-027</t>
  </si>
  <si>
    <t xml:space="preserve">PO-202604-028</t>
  </si>
  <si>
    <t xml:space="preserve">PO-202604-029</t>
  </si>
  <si>
    <t xml:space="preserve">PO-202604-030</t>
  </si>
  <si>
    <t xml:space="preserve">PO-202604-031</t>
  </si>
  <si>
    <t xml:space="preserve">PO-202604-032</t>
  </si>
  <si>
    <t xml:space="preserve">PO-202604-033</t>
  </si>
  <si>
    <r>
      <rPr>
        <sz val="10"/>
        <rFont val="Noto Sans CJK SC"/>
        <family val="2"/>
      </rPr>
      <t xml:space="preserve">ペーパータオル </t>
    </r>
    <r>
      <rPr>
        <sz val="10"/>
        <rFont val="Meiryo UI"/>
        <family val="0"/>
        <charset val="1"/>
      </rPr>
      <t xml:space="preserve">30</t>
    </r>
    <r>
      <rPr>
        <sz val="10"/>
        <rFont val="Noto Sans CJK SC"/>
        <family val="2"/>
      </rPr>
      <t xml:space="preserve">束</t>
    </r>
  </si>
  <si>
    <t xml:space="preserve">PO-202604-034</t>
  </si>
  <si>
    <t xml:space="preserve">PO-202604-035</t>
  </si>
  <si>
    <t xml:space="preserve">PO-202604-036</t>
  </si>
  <si>
    <t xml:space="preserve">PO-202604-037</t>
  </si>
  <si>
    <t xml:space="preserve">PO-202604-038</t>
  </si>
  <si>
    <t xml:space="preserve">PO-202604-039</t>
  </si>
  <si>
    <t xml:space="preserve">PO-202604-040</t>
  </si>
  <si>
    <t xml:space="preserve">PO-202604-041</t>
  </si>
  <si>
    <t xml:space="preserve">ヘッドセット 両耳</t>
  </si>
  <si>
    <t xml:space="preserve">PO-202604-042</t>
  </si>
  <si>
    <t xml:space="preserve">PO-202604-043</t>
  </si>
  <si>
    <t xml:space="preserve">PO-202604-044</t>
  </si>
  <si>
    <t xml:space="preserve">PO-202604-045</t>
  </si>
  <si>
    <t xml:space="preserve">PO-202604-046</t>
  </si>
  <si>
    <t xml:space="preserve">PO-202604-047</t>
  </si>
  <si>
    <t xml:space="preserve">PO-202604-048</t>
  </si>
  <si>
    <t xml:space="preserve">PO-202604-049</t>
  </si>
  <si>
    <t xml:space="preserve">PO-202605-001</t>
  </si>
  <si>
    <t xml:space="preserve">PO-202605-002</t>
  </si>
  <si>
    <t xml:space="preserve">PO-202605-003</t>
  </si>
  <si>
    <t xml:space="preserve">PO-202605-004</t>
  </si>
  <si>
    <t xml:space="preserve">PO-202605-005</t>
  </si>
  <si>
    <t xml:space="preserve">什器</t>
  </si>
  <si>
    <r>
      <rPr>
        <sz val="10"/>
        <rFont val="Noto Sans CJK SC"/>
        <family val="2"/>
      </rPr>
      <t xml:space="preserve">ホワイトボード </t>
    </r>
    <r>
      <rPr>
        <sz val="10"/>
        <rFont val="Meiryo UI"/>
        <family val="0"/>
        <charset val="1"/>
      </rPr>
      <t xml:space="preserve">900×600</t>
    </r>
  </si>
  <si>
    <t xml:space="preserve">PO-202605-006</t>
  </si>
  <si>
    <t xml:space="preserve">PO-202605-007</t>
  </si>
  <si>
    <t xml:space="preserve">PO-202605-008</t>
  </si>
  <si>
    <t xml:space="preserve">PO-202605-009</t>
  </si>
  <si>
    <t xml:space="preserve">PO-202605-010</t>
  </si>
  <si>
    <t xml:space="preserve">PO-202605-011</t>
  </si>
  <si>
    <t xml:space="preserve">PO-202605-012</t>
  </si>
  <si>
    <t xml:space="preserve">PO-202605-013</t>
  </si>
  <si>
    <t xml:space="preserve">郡司 蓮</t>
  </si>
  <si>
    <t xml:space="preserve">PO-202605-014</t>
  </si>
  <si>
    <t xml:space="preserve">PO-202605-015</t>
  </si>
  <si>
    <t xml:space="preserve">PO-202605-016</t>
  </si>
  <si>
    <t xml:space="preserve">PO-202605-017</t>
  </si>
  <si>
    <t xml:space="preserve">PO-202605-018</t>
  </si>
  <si>
    <t xml:space="preserve">PO-202605-019</t>
  </si>
  <si>
    <r>
      <rPr>
        <sz val="10"/>
        <rFont val="Noto Sans CJK SC"/>
        <family val="2"/>
      </rPr>
      <t xml:space="preserve">乾電池 単</t>
    </r>
    <r>
      <rPr>
        <sz val="10"/>
        <rFont val="Meiryo UI"/>
        <family val="0"/>
        <charset val="1"/>
      </rPr>
      <t xml:space="preserve">3 40</t>
    </r>
    <r>
      <rPr>
        <sz val="10"/>
        <rFont val="Noto Sans CJK SC"/>
        <family val="2"/>
      </rPr>
      <t xml:space="preserve">本</t>
    </r>
  </si>
  <si>
    <t xml:space="preserve">PO-202605-020</t>
  </si>
  <si>
    <t xml:space="preserve">PO-202605-021</t>
  </si>
  <si>
    <r>
      <rPr>
        <sz val="10"/>
        <rFont val="Noto Sans CJK SC"/>
        <family val="2"/>
      </rPr>
      <t xml:space="preserve">キャビネット </t>
    </r>
    <r>
      <rPr>
        <sz val="10"/>
        <rFont val="Meiryo UI"/>
        <family val="0"/>
        <charset val="1"/>
      </rPr>
      <t xml:space="preserve">3</t>
    </r>
    <r>
      <rPr>
        <sz val="10"/>
        <rFont val="Noto Sans CJK SC"/>
        <family val="2"/>
      </rPr>
      <t xml:space="preserve">段</t>
    </r>
  </si>
  <si>
    <t xml:space="preserve">PO-202605-022</t>
  </si>
  <si>
    <t xml:space="preserve">PO-202605-023</t>
  </si>
  <si>
    <t xml:space="preserve">PO-202605-024</t>
  </si>
  <si>
    <t xml:space="preserve">PO-202605-025</t>
  </si>
  <si>
    <t xml:space="preserve">PO-202605-026</t>
  </si>
  <si>
    <t xml:space="preserve">PO-202605-027</t>
  </si>
  <si>
    <t xml:space="preserve">PO-202605-028</t>
  </si>
  <si>
    <t xml:space="preserve">PO-202605-029</t>
  </si>
  <si>
    <t xml:space="preserve">PO-202605-030</t>
  </si>
  <si>
    <t xml:space="preserve">PO-202605-031</t>
  </si>
  <si>
    <t xml:space="preserve">PO-202605-032</t>
  </si>
  <si>
    <r>
      <rPr>
        <sz val="10"/>
        <rFont val="Meiryo UI"/>
        <family val="0"/>
        <charset val="1"/>
      </rPr>
      <t xml:space="preserve">27</t>
    </r>
    <r>
      <rPr>
        <sz val="10"/>
        <rFont val="Noto Sans CJK SC"/>
        <family val="2"/>
      </rPr>
      <t xml:space="preserve">型モニター</t>
    </r>
  </si>
  <si>
    <t xml:space="preserve">PO-202605-033</t>
  </si>
  <si>
    <r>
      <rPr>
        <sz val="10"/>
        <rFont val="Noto Sans CJK SC"/>
        <family val="2"/>
      </rPr>
      <t xml:space="preserve">除菌シート 詰替 </t>
    </r>
    <r>
      <rPr>
        <sz val="10"/>
        <rFont val="Meiryo UI"/>
        <family val="0"/>
        <charset val="1"/>
      </rPr>
      <t xml:space="preserve">12</t>
    </r>
    <r>
      <rPr>
        <sz val="10"/>
        <rFont val="Noto Sans CJK SC"/>
        <family val="2"/>
      </rPr>
      <t xml:space="preserve">個</t>
    </r>
  </si>
  <si>
    <t xml:space="preserve">PO-202605-034</t>
  </si>
  <si>
    <t xml:space="preserve">PO-202605-035</t>
  </si>
  <si>
    <t xml:space="preserve">PO-202605-036</t>
  </si>
  <si>
    <t xml:space="preserve">PO-202606-001</t>
  </si>
  <si>
    <t xml:space="preserve">PO-202606-002</t>
  </si>
  <si>
    <t xml:space="preserve">PO-202606-003</t>
  </si>
  <si>
    <t xml:space="preserve">PO-202606-004</t>
  </si>
  <si>
    <t xml:space="preserve">PO-202606-005</t>
  </si>
  <si>
    <t xml:space="preserve">PO-202606-006</t>
  </si>
  <si>
    <t xml:space="preserve">PO-202606-007</t>
  </si>
  <si>
    <t xml:space="preserve">PO-202606-008</t>
  </si>
  <si>
    <t xml:space="preserve">PO-202606-009</t>
  </si>
  <si>
    <t xml:space="preserve">PO-202606-010</t>
  </si>
  <si>
    <t xml:space="preserve">PO-202606-011</t>
  </si>
  <si>
    <t xml:space="preserve">PO-202606-012</t>
  </si>
  <si>
    <t xml:space="preserve">PO-202606-013</t>
  </si>
  <si>
    <t xml:space="preserve">PO-202606-014</t>
  </si>
  <si>
    <t xml:space="preserve">PO-202606-015</t>
  </si>
  <si>
    <t xml:space="preserve">PO-202606-016</t>
  </si>
  <si>
    <t xml:space="preserve">PO-202606-017</t>
  </si>
  <si>
    <t xml:space="preserve">PO-202606-018</t>
  </si>
  <si>
    <t xml:space="preserve">PO-202606-019</t>
  </si>
  <si>
    <t xml:space="preserve">ワイヤレスマウス</t>
  </si>
  <si>
    <t xml:space="preserve">PO-202606-020</t>
  </si>
  <si>
    <t xml:space="preserve">PO-202606-021</t>
  </si>
  <si>
    <t xml:space="preserve">PO-202606-022</t>
  </si>
  <si>
    <t xml:space="preserve">オフィスチェア</t>
  </si>
  <si>
    <t xml:space="preserve">PO-202606-023</t>
  </si>
  <si>
    <t xml:space="preserve">PO-202606-024</t>
  </si>
  <si>
    <t xml:space="preserve">PO-202606-025</t>
  </si>
  <si>
    <t xml:space="preserve">PO-202606-026</t>
  </si>
  <si>
    <t xml:space="preserve">PO-202606-027</t>
  </si>
  <si>
    <t xml:space="preserve">PO-202606-028</t>
  </si>
  <si>
    <t xml:space="preserve">PO-202606-029</t>
  </si>
  <si>
    <t xml:space="preserve">PO-202606-030</t>
  </si>
  <si>
    <t xml:space="preserve">PO-202606-031</t>
  </si>
  <si>
    <t xml:space="preserve">PO-202606-032</t>
  </si>
  <si>
    <t xml:space="preserve">PO-202606-033</t>
  </si>
  <si>
    <t xml:space="preserve">PO-202606-034</t>
  </si>
  <si>
    <t xml:space="preserve">PO-202606-035</t>
  </si>
  <si>
    <t xml:space="preserve">PO-202606-036</t>
  </si>
  <si>
    <t xml:space="preserve">PO-202607-001</t>
  </si>
  <si>
    <t xml:space="preserve">PO-202607-002</t>
  </si>
  <si>
    <t xml:space="preserve">PO-202607-003</t>
  </si>
  <si>
    <t xml:space="preserve">PO-202607-004</t>
  </si>
  <si>
    <t xml:space="preserve">PO-202607-005</t>
  </si>
  <si>
    <t xml:space="preserve">PO-202607-006</t>
  </si>
  <si>
    <t xml:space="preserve">PO-202607-007</t>
  </si>
  <si>
    <t xml:space="preserve">デスクワゴン</t>
  </si>
  <si>
    <t xml:space="preserve">PO-202607-008</t>
  </si>
  <si>
    <t xml:space="preserve">PO-202607-009</t>
  </si>
  <si>
    <t xml:space="preserve">PO-202607-010</t>
  </si>
  <si>
    <t xml:space="preserve">PO-202607-011</t>
  </si>
  <si>
    <t xml:space="preserve">PO-202607-012</t>
  </si>
  <si>
    <t xml:space="preserve">PO-202607-013</t>
  </si>
  <si>
    <t xml:space="preserve">PO-202607-014</t>
  </si>
  <si>
    <t xml:space="preserve">PO-202607-015</t>
  </si>
  <si>
    <t xml:space="preserve">PO-202607-016</t>
  </si>
  <si>
    <t xml:space="preserve">PO-202607-017</t>
  </si>
  <si>
    <t xml:space="preserve">PO-202607-018</t>
  </si>
  <si>
    <t xml:space="preserve">PO-202607-019</t>
  </si>
  <si>
    <t xml:space="preserve">PO-202607-020</t>
  </si>
  <si>
    <t xml:space="preserve">PO-202607-021</t>
  </si>
  <si>
    <t xml:space="preserve">PO-202607-022</t>
  </si>
  <si>
    <t xml:space="preserve">PO-202607-023</t>
  </si>
  <si>
    <t xml:space="preserve">PO-202607-024</t>
  </si>
  <si>
    <t xml:space="preserve">PO-202607-025</t>
  </si>
  <si>
    <t xml:space="preserve">PO-202607-026</t>
  </si>
  <si>
    <t xml:space="preserve">PO-202607-027</t>
  </si>
  <si>
    <t xml:space="preserve">PO-202607-028</t>
  </si>
  <si>
    <t xml:space="preserve">PO-202607-029</t>
  </si>
  <si>
    <t xml:space="preserve">PO-202607-030</t>
  </si>
  <si>
    <t xml:space="preserve">PO-202607-031</t>
  </si>
  <si>
    <t xml:space="preserve">PO-202607-032</t>
  </si>
  <si>
    <t xml:space="preserve">PO-202607-033</t>
  </si>
  <si>
    <t xml:space="preserve">PO-202607-034</t>
  </si>
  <si>
    <t xml:space="preserve">PO-202607-035</t>
  </si>
  <si>
    <t xml:space="preserve">PO-202607-036</t>
  </si>
  <si>
    <t xml:space="preserve">PO-202607-037</t>
  </si>
  <si>
    <t xml:space="preserve">PO-202608-001</t>
  </si>
  <si>
    <t xml:space="preserve">PO-202608-002</t>
  </si>
  <si>
    <t xml:space="preserve">PO-202608-003</t>
  </si>
  <si>
    <t xml:space="preserve">PO-202608-004</t>
  </si>
  <si>
    <t xml:space="preserve">PO-202608-005</t>
  </si>
  <si>
    <t xml:space="preserve">PO-202608-006</t>
  </si>
  <si>
    <t xml:space="preserve">PO-202608-007</t>
  </si>
  <si>
    <t xml:space="preserve">PO-202608-008</t>
  </si>
  <si>
    <t xml:space="preserve">PO-202608-009</t>
  </si>
  <si>
    <t xml:space="preserve">PO-202608-010</t>
  </si>
  <si>
    <t xml:space="preserve">PO-202608-011</t>
  </si>
  <si>
    <t xml:space="preserve">PO-202608-012</t>
  </si>
  <si>
    <t xml:space="preserve">PO-202608-013</t>
  </si>
  <si>
    <t xml:space="preserve">PO-202608-014</t>
  </si>
  <si>
    <t xml:space="preserve">PO-202608-015</t>
  </si>
  <si>
    <t xml:space="preserve">PO-202608-016</t>
  </si>
  <si>
    <t xml:space="preserve">PO-202608-017</t>
  </si>
  <si>
    <t xml:space="preserve">PO-202608-018</t>
  </si>
  <si>
    <t xml:space="preserve">PO-202608-019</t>
  </si>
  <si>
    <t xml:space="preserve">PO-202608-020</t>
  </si>
  <si>
    <t xml:space="preserve">PO-202608-021</t>
  </si>
  <si>
    <t xml:space="preserve">PO-202608-022</t>
  </si>
  <si>
    <t xml:space="preserve">PO-202608-023</t>
  </si>
  <si>
    <t xml:space="preserve">PO-202608-024</t>
  </si>
  <si>
    <t xml:space="preserve">PO-202608-025</t>
  </si>
  <si>
    <t xml:space="preserve">PO-202608-026</t>
  </si>
  <si>
    <t xml:space="preserve">PO-202608-027</t>
  </si>
  <si>
    <t xml:space="preserve">PO-202608-028</t>
  </si>
  <si>
    <t xml:space="preserve">PO-202608-029</t>
  </si>
  <si>
    <t xml:space="preserve">PO-202608-030</t>
  </si>
  <si>
    <t xml:space="preserve">PO-202608-031</t>
  </si>
  <si>
    <t xml:space="preserve">PO-202608-032</t>
  </si>
  <si>
    <t xml:space="preserve">PO-202608-033</t>
  </si>
  <si>
    <t xml:space="preserve">PO-202608-034</t>
  </si>
  <si>
    <t xml:space="preserve">PO-202608-035</t>
  </si>
  <si>
    <t xml:space="preserve">PO-202608-036</t>
  </si>
  <si>
    <t xml:space="preserve">PO-202609-001</t>
  </si>
  <si>
    <t xml:space="preserve">PO-202609-002</t>
  </si>
  <si>
    <t xml:space="preserve">PO-202609-003</t>
  </si>
  <si>
    <t xml:space="preserve">PO-202609-004</t>
  </si>
  <si>
    <t xml:space="preserve">PO-202609-005</t>
  </si>
  <si>
    <t xml:space="preserve">PO-202609-006</t>
  </si>
  <si>
    <t xml:space="preserve">PO-202609-007</t>
  </si>
  <si>
    <t xml:space="preserve">PO-202609-008</t>
  </si>
  <si>
    <t xml:space="preserve">PO-202609-009</t>
  </si>
  <si>
    <t xml:space="preserve">PO-202609-010</t>
  </si>
  <si>
    <t xml:space="preserve">PO-202609-011</t>
  </si>
  <si>
    <t xml:space="preserve">PO-202609-012</t>
  </si>
  <si>
    <t xml:space="preserve">PO-202609-013</t>
  </si>
  <si>
    <t xml:space="preserve">PO-202609-014</t>
  </si>
  <si>
    <t xml:space="preserve">PO-202609-015</t>
  </si>
  <si>
    <t xml:space="preserve">PO-202609-016</t>
  </si>
  <si>
    <t xml:space="preserve">PO-202609-017</t>
  </si>
  <si>
    <t xml:space="preserve">PO-202609-018</t>
  </si>
  <si>
    <t xml:space="preserve">PO-202609-019</t>
  </si>
  <si>
    <t xml:space="preserve">PO-202609-020</t>
  </si>
  <si>
    <r>
      <rPr>
        <b val="true"/>
        <sz val="14"/>
        <rFont val="Noto Sans CJK SC"/>
        <family val="2"/>
      </rPr>
      <t xml:space="preserve">部署別 備品購入 予算比（</t>
    </r>
    <r>
      <rPr>
        <b val="true"/>
        <sz val="14"/>
        <rFont val="Meiryo UI"/>
        <family val="0"/>
        <charset val="1"/>
      </rPr>
      <t xml:space="preserve">2026</t>
    </r>
    <r>
      <rPr>
        <b val="true"/>
        <sz val="14"/>
        <rFont val="Noto Sans CJK SC"/>
        <family val="2"/>
      </rPr>
      <t xml:space="preserve">年度 上期）</t>
    </r>
  </si>
  <si>
    <r>
      <rPr>
        <sz val="9"/>
        <color rgb="FF6B6459"/>
        <rFont val="Noto Sans CJK SC"/>
        <family val="2"/>
      </rPr>
      <t xml:space="preserve">実績は「発注明細」から自動集計（</t>
    </r>
    <r>
      <rPr>
        <sz val="9"/>
        <color rgb="FF6B6459"/>
        <rFont val="Meiryo UI"/>
        <family val="0"/>
        <charset val="1"/>
      </rPr>
      <t xml:space="preserve">SUMIFS</t>
    </r>
    <r>
      <rPr>
        <sz val="9"/>
        <color rgb="FF6B6459"/>
        <rFont val="Noto Sans CJK SC"/>
        <family val="2"/>
      </rPr>
      <t xml:space="preserve">）。月予算（青字）は総務部で設定した値。</t>
    </r>
    <r>
      <rPr>
        <sz val="9"/>
        <color rgb="FF6B6459"/>
        <rFont val="Meiryo UI"/>
        <family val="0"/>
        <charset val="1"/>
      </rPr>
      <t xml:space="preserve">9</t>
    </r>
    <r>
      <rPr>
        <sz val="9"/>
        <color rgb="FF6B6459"/>
        <rFont val="Noto Sans CJK SC"/>
        <family val="2"/>
      </rPr>
      <t xml:space="preserve">月は</t>
    </r>
    <r>
      <rPr>
        <sz val="9"/>
        <color rgb="FF6B6459"/>
        <rFont val="Meiryo UI"/>
        <family val="0"/>
        <charset val="1"/>
      </rPr>
      <t xml:space="preserve">18</t>
    </r>
    <r>
      <rPr>
        <sz val="9"/>
        <color rgb="FF6B6459"/>
        <rFont val="Noto Sans CJK SC"/>
        <family val="2"/>
      </rPr>
      <t xml:space="preserve">日発注分まで</t>
    </r>
  </si>
  <si>
    <t xml:space="preserve">実績（円）</t>
  </si>
  <si>
    <t xml:space="preserve">月予算</t>
  </si>
  <si>
    <r>
      <rPr>
        <b val="true"/>
        <sz val="11"/>
        <color rgb="FFFFFFFF"/>
        <rFont val="Meiryo UI"/>
        <family val="0"/>
        <charset val="1"/>
      </rPr>
      <t xml:space="preserve">4</t>
    </r>
    <r>
      <rPr>
        <b val="true"/>
        <sz val="11"/>
        <color rgb="FFFFFFFF"/>
        <rFont val="Noto Sans CJK SC"/>
        <family val="2"/>
      </rPr>
      <t xml:space="preserve">月</t>
    </r>
  </si>
  <si>
    <r>
      <rPr>
        <b val="true"/>
        <sz val="11"/>
        <color rgb="FFFFFFFF"/>
        <rFont val="Meiryo UI"/>
        <family val="0"/>
        <charset val="1"/>
      </rPr>
      <t xml:space="preserve">5</t>
    </r>
    <r>
      <rPr>
        <b val="true"/>
        <sz val="11"/>
        <color rgb="FFFFFFFF"/>
        <rFont val="Noto Sans CJK SC"/>
        <family val="2"/>
      </rPr>
      <t xml:space="preserve">月</t>
    </r>
  </si>
  <si>
    <r>
      <rPr>
        <b val="true"/>
        <sz val="11"/>
        <color rgb="FFFFFFFF"/>
        <rFont val="Meiryo UI"/>
        <family val="0"/>
        <charset val="1"/>
      </rPr>
      <t xml:space="preserve">6</t>
    </r>
    <r>
      <rPr>
        <b val="true"/>
        <sz val="11"/>
        <color rgb="FFFFFFFF"/>
        <rFont val="Noto Sans CJK SC"/>
        <family val="2"/>
      </rPr>
      <t xml:space="preserve">月</t>
    </r>
  </si>
  <si>
    <r>
      <rPr>
        <b val="true"/>
        <sz val="11"/>
        <color rgb="FFFFFFFF"/>
        <rFont val="Meiryo UI"/>
        <family val="0"/>
        <charset val="1"/>
      </rPr>
      <t xml:space="preserve">7</t>
    </r>
    <r>
      <rPr>
        <b val="true"/>
        <sz val="11"/>
        <color rgb="FFFFFFFF"/>
        <rFont val="Noto Sans CJK SC"/>
        <family val="2"/>
      </rPr>
      <t xml:space="preserve">月</t>
    </r>
  </si>
  <si>
    <r>
      <rPr>
        <b val="true"/>
        <sz val="11"/>
        <color rgb="FFFFFFFF"/>
        <rFont val="Meiryo UI"/>
        <family val="0"/>
        <charset val="1"/>
      </rPr>
      <t xml:space="preserve">8</t>
    </r>
    <r>
      <rPr>
        <b val="true"/>
        <sz val="11"/>
        <color rgb="FFFFFFFF"/>
        <rFont val="Noto Sans CJK SC"/>
        <family val="2"/>
      </rPr>
      <t xml:space="preserve">月</t>
    </r>
  </si>
  <si>
    <r>
      <rPr>
        <b val="true"/>
        <sz val="11"/>
        <color rgb="FFFFFFFF"/>
        <rFont val="Meiryo UI"/>
        <family val="0"/>
        <charset val="1"/>
      </rPr>
      <t xml:space="preserve">9</t>
    </r>
    <r>
      <rPr>
        <b val="true"/>
        <sz val="11"/>
        <color rgb="FFFFFFFF"/>
        <rFont val="Noto Sans CJK SC"/>
        <family val="2"/>
      </rPr>
      <t xml:space="preserve">月</t>
    </r>
  </si>
  <si>
    <t xml:space="preserve">上期計</t>
  </si>
  <si>
    <t xml:space="preserve">合計</t>
  </si>
  <si>
    <r>
      <rPr>
        <b val="true"/>
        <sz val="11"/>
        <rFont val="Noto Sans CJK SC"/>
        <family val="2"/>
      </rPr>
      <t xml:space="preserve">予算比（実績 </t>
    </r>
    <r>
      <rPr>
        <b val="true"/>
        <sz val="11"/>
        <rFont val="Meiryo UI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月予算）</t>
    </r>
  </si>
  <si>
    <t xml:space="preserve">上期平均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</si>
</sst>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/mm/dd"/>
    <numFmt numFmtId="166" formatCode="#,##0"/>
    <numFmt numFmtId="167" formatCode="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b val="true"/>
      <sz val="11"/>
      <color rgb="FFFFFFFF"/>
      <name val="Meiryo UI"/>
      <family val="0"/>
      <charset val="1"/>
    </font>
    <font>
      <sz val="10"/>
      <name val="Meiryo UI"/>
      <family val="0"/>
      <charset val="1"/>
    </font>
    <font>
      <sz val="10"/>
      <name val="Noto Sans CJK SC"/>
      <family val="2"/>
    </font>
    <font>
      <sz val="10"/>
      <color rgb="FF0000FF"/>
      <name val="Meiryo UI"/>
      <family val="0"/>
      <charset val="1"/>
    </font>
    <font>
      <b val="true"/>
      <sz val="14"/>
      <name val="Noto Sans CJK SC"/>
      <family val="2"/>
    </font>
    <font>
      <b val="true"/>
      <sz val="14"/>
      <name val="Meiryo UI"/>
      <family val="0"/>
      <charset val="1"/>
    </font>
    <font>
      <sz val="9"/>
      <color rgb="FF6B6459"/>
      <name val="Noto Sans CJK SC"/>
      <family val="2"/>
    </font>
    <font>
      <sz val="9"/>
      <color rgb="FF6B6459"/>
      <name val="Meiryo UI"/>
      <family val="0"/>
      <charset val="1"/>
    </font>
    <font>
      <b val="true"/>
      <sz val="11"/>
      <name val="Noto Sans CJK SC"/>
      <family val="2"/>
    </font>
    <font>
      <sz val="11"/>
      <color theme="1"/>
      <name val="Noto Sans CJK SC"/>
      <family val="2"/>
    </font>
    <font>
      <sz val="11"/>
      <color rgb="FF0000FF"/>
      <name val="Meiryo UI"/>
      <family val="0"/>
      <charset val="1"/>
    </font>
    <font>
      <sz val="11"/>
      <color theme="1"/>
      <name val="Meiryo UI"/>
      <family val="0"/>
      <charset val="1"/>
    </font>
    <font>
      <b val="true"/>
      <sz val="11"/>
      <name val="Meiryo U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D6B5C"/>
        <bgColor rgb="FF6B6459"/>
      </patternFill>
    </fill>
    <fill>
      <patternFill patternType="solid">
        <fgColor rgb="FFB8763E"/>
        <bgColor rgb="FF8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763E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459"/>
      <rgbColor rgb="FF969696"/>
      <rgbColor rgb="FF003366"/>
      <rgbColor rgb="FF3D6B5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発注明細" displayName="発注明細" ref="A1:K215" headerRowCount="1" totalsRowCount="0" totalsRowShown="0">
  <autoFilter ref="A1:K215"/>
  <tableColumns count="11">
    <tableColumn id="1" name="発注日"/>
    <tableColumn id="2" name="発注No"/>
    <tableColumn id="3" name="月"/>
    <tableColumn id="4" name="部署"/>
    <tableColumn id="5" name="品目区分"/>
    <tableColumn id="6" name="品名"/>
    <tableColumn id="7" name="数量"/>
    <tableColumn id="8" name="単価"/>
    <tableColumn id="9" name="金額"/>
    <tableColumn id="10" name="仕入先"/>
    <tableColumn id="11" name="申請者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5"/>
    <col collapsed="false" customWidth="true" hidden="false" outlineLevel="0" max="3" min="3" style="0" width="6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30"/>
    <col collapsed="false" customWidth="true" hidden="false" outlineLevel="0" max="7" min="7" style="0" width="6"/>
    <col collapsed="false" customWidth="true" hidden="false" outlineLevel="0" max="8" min="8" style="0" width="9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11"/>
  </cols>
  <sheetData>
    <row r="1" customFormat="false" ht="17.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n">
        <v>46113</v>
      </c>
      <c r="B2" s="3" t="s">
        <v>11</v>
      </c>
      <c r="C2" s="3" t="str">
        <f aca="false">MONTH(A2)&amp;"月"</f>
        <v>4月</v>
      </c>
      <c r="D2" s="4" t="s">
        <v>12</v>
      </c>
      <c r="E2" s="3" t="s">
        <v>13</v>
      </c>
      <c r="F2" s="3" t="s">
        <v>14</v>
      </c>
      <c r="G2" s="5" t="n">
        <v>6</v>
      </c>
      <c r="H2" s="6" t="n">
        <v>4980</v>
      </c>
      <c r="I2" s="7" t="n">
        <f aca="false">G2*H2</f>
        <v>29880</v>
      </c>
      <c r="J2" s="4" t="s">
        <v>15</v>
      </c>
      <c r="K2" s="4" t="s">
        <v>16</v>
      </c>
    </row>
    <row r="3" customFormat="false" ht="15" hidden="false" customHeight="false" outlineLevel="0" collapsed="false">
      <c r="A3" s="2" t="n">
        <v>46113</v>
      </c>
      <c r="B3" s="3" t="s">
        <v>17</v>
      </c>
      <c r="C3" s="3" t="str">
        <f aca="false">MONTH(A3)&amp;"月"</f>
        <v>4月</v>
      </c>
      <c r="D3" s="4" t="s">
        <v>18</v>
      </c>
      <c r="E3" s="4" t="s">
        <v>19</v>
      </c>
      <c r="F3" s="4" t="s">
        <v>20</v>
      </c>
      <c r="G3" s="5" t="n">
        <v>2</v>
      </c>
      <c r="H3" s="6" t="n">
        <v>3150</v>
      </c>
      <c r="I3" s="7" t="n">
        <f aca="false">G3*H3</f>
        <v>6300</v>
      </c>
      <c r="J3" s="4" t="s">
        <v>21</v>
      </c>
      <c r="K3" s="4" t="s">
        <v>22</v>
      </c>
    </row>
    <row r="4" customFormat="false" ht="15" hidden="false" customHeight="false" outlineLevel="0" collapsed="false">
      <c r="A4" s="2" t="n">
        <v>46113</v>
      </c>
      <c r="B4" s="3" t="s">
        <v>23</v>
      </c>
      <c r="C4" s="3" t="str">
        <f aca="false">MONTH(A4)&amp;"月"</f>
        <v>4月</v>
      </c>
      <c r="D4" s="4" t="s">
        <v>24</v>
      </c>
      <c r="E4" s="4" t="s">
        <v>19</v>
      </c>
      <c r="F4" s="4" t="s">
        <v>25</v>
      </c>
      <c r="G4" s="5" t="n">
        <v>6</v>
      </c>
      <c r="H4" s="6" t="n">
        <v>1980</v>
      </c>
      <c r="I4" s="7" t="n">
        <f aca="false">G4*H4</f>
        <v>11880</v>
      </c>
      <c r="J4" s="4" t="s">
        <v>26</v>
      </c>
      <c r="K4" s="4" t="s">
        <v>27</v>
      </c>
    </row>
    <row r="5" customFormat="false" ht="15" hidden="false" customHeight="false" outlineLevel="0" collapsed="false">
      <c r="A5" s="2" t="n">
        <v>46114</v>
      </c>
      <c r="B5" s="3" t="s">
        <v>28</v>
      </c>
      <c r="C5" s="3" t="str">
        <f aca="false">MONTH(A5)&amp;"月"</f>
        <v>4月</v>
      </c>
      <c r="D5" s="4" t="s">
        <v>29</v>
      </c>
      <c r="E5" s="3" t="s">
        <v>13</v>
      </c>
      <c r="F5" s="4" t="s">
        <v>30</v>
      </c>
      <c r="G5" s="5" t="n">
        <v>2</v>
      </c>
      <c r="H5" s="6" t="n">
        <v>3980</v>
      </c>
      <c r="I5" s="7" t="n">
        <f aca="false">G5*H5</f>
        <v>7960</v>
      </c>
      <c r="J5" s="4" t="s">
        <v>15</v>
      </c>
      <c r="K5" s="4" t="s">
        <v>31</v>
      </c>
    </row>
    <row r="6" customFormat="false" ht="15" hidden="false" customHeight="false" outlineLevel="0" collapsed="false">
      <c r="A6" s="2" t="n">
        <v>46115</v>
      </c>
      <c r="B6" s="3" t="s">
        <v>32</v>
      </c>
      <c r="C6" s="3" t="str">
        <f aca="false">MONTH(A6)&amp;"月"</f>
        <v>4月</v>
      </c>
      <c r="D6" s="4" t="s">
        <v>12</v>
      </c>
      <c r="E6" s="4" t="s">
        <v>33</v>
      </c>
      <c r="F6" s="4" t="s">
        <v>34</v>
      </c>
      <c r="G6" s="5" t="n">
        <v>5</v>
      </c>
      <c r="H6" s="6" t="n">
        <v>680</v>
      </c>
      <c r="I6" s="7" t="n">
        <f aca="false">G6*H6</f>
        <v>3400</v>
      </c>
      <c r="J6" s="4" t="s">
        <v>21</v>
      </c>
      <c r="K6" s="4" t="s">
        <v>16</v>
      </c>
    </row>
    <row r="7" customFormat="false" ht="15" hidden="false" customHeight="false" outlineLevel="0" collapsed="false">
      <c r="A7" s="2" t="n">
        <v>46115</v>
      </c>
      <c r="B7" s="3" t="s">
        <v>35</v>
      </c>
      <c r="C7" s="3" t="str">
        <f aca="false">MONTH(A7)&amp;"月"</f>
        <v>4月</v>
      </c>
      <c r="D7" s="4" t="s">
        <v>24</v>
      </c>
      <c r="E7" s="4" t="s">
        <v>36</v>
      </c>
      <c r="F7" s="4" t="s">
        <v>37</v>
      </c>
      <c r="G7" s="5" t="n">
        <v>1</v>
      </c>
      <c r="H7" s="6" t="n">
        <v>18900</v>
      </c>
      <c r="I7" s="7" t="n">
        <f aca="false">G7*H7</f>
        <v>18900</v>
      </c>
      <c r="J7" s="4" t="s">
        <v>26</v>
      </c>
      <c r="K7" s="4" t="s">
        <v>27</v>
      </c>
    </row>
    <row r="8" customFormat="false" ht="15" hidden="false" customHeight="false" outlineLevel="0" collapsed="false">
      <c r="A8" s="2" t="n">
        <v>46118</v>
      </c>
      <c r="B8" s="3" t="s">
        <v>38</v>
      </c>
      <c r="C8" s="3" t="str">
        <f aca="false">MONTH(A8)&amp;"月"</f>
        <v>4月</v>
      </c>
      <c r="D8" s="4" t="s">
        <v>39</v>
      </c>
      <c r="E8" s="3" t="s">
        <v>13</v>
      </c>
      <c r="F8" s="3" t="s">
        <v>40</v>
      </c>
      <c r="G8" s="5" t="n">
        <v>10</v>
      </c>
      <c r="H8" s="6" t="n">
        <v>6480</v>
      </c>
      <c r="I8" s="7" t="n">
        <f aca="false">G8*H8</f>
        <v>64800</v>
      </c>
      <c r="J8" s="4" t="s">
        <v>15</v>
      </c>
      <c r="K8" s="4" t="s">
        <v>41</v>
      </c>
    </row>
    <row r="9" customFormat="false" ht="15" hidden="false" customHeight="false" outlineLevel="0" collapsed="false">
      <c r="A9" s="2" t="n">
        <v>46118</v>
      </c>
      <c r="B9" s="3" t="s">
        <v>42</v>
      </c>
      <c r="C9" s="3" t="str">
        <f aca="false">MONTH(A9)&amp;"月"</f>
        <v>4月</v>
      </c>
      <c r="D9" s="4" t="s">
        <v>43</v>
      </c>
      <c r="E9" s="3" t="s">
        <v>13</v>
      </c>
      <c r="F9" s="4" t="s">
        <v>30</v>
      </c>
      <c r="G9" s="5" t="n">
        <v>5</v>
      </c>
      <c r="H9" s="6" t="n">
        <v>3980</v>
      </c>
      <c r="I9" s="7" t="n">
        <f aca="false">G9*H9</f>
        <v>19900</v>
      </c>
      <c r="J9" s="4" t="s">
        <v>26</v>
      </c>
      <c r="K9" s="4" t="s">
        <v>44</v>
      </c>
    </row>
    <row r="10" customFormat="false" ht="15" hidden="false" customHeight="false" outlineLevel="0" collapsed="false">
      <c r="A10" s="2" t="n">
        <v>46118</v>
      </c>
      <c r="B10" s="3" t="s">
        <v>45</v>
      </c>
      <c r="C10" s="3" t="str">
        <f aca="false">MONTH(A10)&amp;"月"</f>
        <v>4月</v>
      </c>
      <c r="D10" s="4" t="s">
        <v>39</v>
      </c>
      <c r="E10" s="4" t="s">
        <v>36</v>
      </c>
      <c r="F10" s="4" t="s">
        <v>37</v>
      </c>
      <c r="G10" s="5" t="n">
        <v>1</v>
      </c>
      <c r="H10" s="6" t="n">
        <v>18900</v>
      </c>
      <c r="I10" s="7" t="n">
        <f aca="false">G10*H10</f>
        <v>18900</v>
      </c>
      <c r="J10" s="4" t="s">
        <v>26</v>
      </c>
      <c r="K10" s="4" t="s">
        <v>41</v>
      </c>
    </row>
    <row r="11" customFormat="false" ht="15" hidden="false" customHeight="false" outlineLevel="0" collapsed="false">
      <c r="A11" s="2" t="n">
        <v>46119</v>
      </c>
      <c r="B11" s="3" t="s">
        <v>46</v>
      </c>
      <c r="C11" s="3" t="str">
        <f aca="false">MONTH(A11)&amp;"月"</f>
        <v>4月</v>
      </c>
      <c r="D11" s="4" t="s">
        <v>12</v>
      </c>
      <c r="E11" s="4" t="s">
        <v>33</v>
      </c>
      <c r="F11" s="4" t="s">
        <v>47</v>
      </c>
      <c r="G11" s="5" t="n">
        <v>1</v>
      </c>
      <c r="H11" s="6" t="n">
        <v>1320</v>
      </c>
      <c r="I11" s="7" t="n">
        <f aca="false">G11*H11</f>
        <v>1320</v>
      </c>
      <c r="J11" s="4" t="s">
        <v>15</v>
      </c>
      <c r="K11" s="4" t="s">
        <v>16</v>
      </c>
    </row>
    <row r="12" customFormat="false" ht="15" hidden="false" customHeight="false" outlineLevel="0" collapsed="false">
      <c r="A12" s="2" t="n">
        <v>46119</v>
      </c>
      <c r="B12" s="3" t="s">
        <v>48</v>
      </c>
      <c r="C12" s="3" t="str">
        <f aca="false">MONTH(A12)&amp;"月"</f>
        <v>4月</v>
      </c>
      <c r="D12" s="4" t="s">
        <v>39</v>
      </c>
      <c r="E12" s="4" t="s">
        <v>33</v>
      </c>
      <c r="F12" s="4" t="s">
        <v>49</v>
      </c>
      <c r="G12" s="5" t="n">
        <v>10</v>
      </c>
      <c r="H12" s="6" t="n">
        <v>1650</v>
      </c>
      <c r="I12" s="7" t="n">
        <f aca="false">G12*H12</f>
        <v>16500</v>
      </c>
      <c r="J12" s="4" t="s">
        <v>21</v>
      </c>
      <c r="K12" s="4" t="s">
        <v>41</v>
      </c>
    </row>
    <row r="13" customFormat="false" ht="15" hidden="false" customHeight="false" outlineLevel="0" collapsed="false">
      <c r="A13" s="2" t="n">
        <v>46119</v>
      </c>
      <c r="B13" s="3" t="s">
        <v>50</v>
      </c>
      <c r="C13" s="3" t="str">
        <f aca="false">MONTH(A13)&amp;"月"</f>
        <v>4月</v>
      </c>
      <c r="D13" s="4" t="s">
        <v>12</v>
      </c>
      <c r="E13" s="4" t="s">
        <v>19</v>
      </c>
      <c r="F13" s="4" t="s">
        <v>25</v>
      </c>
      <c r="G13" s="5" t="n">
        <v>5</v>
      </c>
      <c r="H13" s="6" t="n">
        <v>1980</v>
      </c>
      <c r="I13" s="7" t="n">
        <f aca="false">G13*H13</f>
        <v>9900</v>
      </c>
      <c r="J13" s="4" t="s">
        <v>26</v>
      </c>
      <c r="K13" s="4" t="s">
        <v>16</v>
      </c>
    </row>
    <row r="14" customFormat="false" ht="15" hidden="false" customHeight="false" outlineLevel="0" collapsed="false">
      <c r="A14" s="2" t="n">
        <v>46119</v>
      </c>
      <c r="B14" s="3" t="s">
        <v>51</v>
      </c>
      <c r="C14" s="3" t="str">
        <f aca="false">MONTH(A14)&amp;"月"</f>
        <v>4月</v>
      </c>
      <c r="D14" s="4" t="s">
        <v>18</v>
      </c>
      <c r="E14" s="4" t="s">
        <v>33</v>
      </c>
      <c r="F14" s="4" t="s">
        <v>52</v>
      </c>
      <c r="G14" s="5" t="n">
        <v>4</v>
      </c>
      <c r="H14" s="6" t="n">
        <v>420</v>
      </c>
      <c r="I14" s="7" t="n">
        <f aca="false">G14*H14</f>
        <v>1680</v>
      </c>
      <c r="J14" s="4" t="s">
        <v>26</v>
      </c>
      <c r="K14" s="4" t="s">
        <v>22</v>
      </c>
    </row>
    <row r="15" customFormat="false" ht="15" hidden="false" customHeight="false" outlineLevel="0" collapsed="false">
      <c r="A15" s="2" t="n">
        <v>46120</v>
      </c>
      <c r="B15" s="3" t="s">
        <v>53</v>
      </c>
      <c r="C15" s="3" t="str">
        <f aca="false">MONTH(A15)&amp;"月"</f>
        <v>4月</v>
      </c>
      <c r="D15" s="4" t="s">
        <v>54</v>
      </c>
      <c r="E15" s="4" t="s">
        <v>19</v>
      </c>
      <c r="F15" s="4" t="s">
        <v>25</v>
      </c>
      <c r="G15" s="5" t="n">
        <v>10</v>
      </c>
      <c r="H15" s="6" t="n">
        <v>1980</v>
      </c>
      <c r="I15" s="7" t="n">
        <f aca="false">G15*H15</f>
        <v>19800</v>
      </c>
      <c r="J15" s="4" t="s">
        <v>15</v>
      </c>
      <c r="K15" s="4" t="s">
        <v>55</v>
      </c>
    </row>
    <row r="16" customFormat="false" ht="15" hidden="false" customHeight="false" outlineLevel="0" collapsed="false">
      <c r="A16" s="2" t="n">
        <v>46120</v>
      </c>
      <c r="B16" s="3" t="s">
        <v>56</v>
      </c>
      <c r="C16" s="3" t="str">
        <f aca="false">MONTH(A16)&amp;"月"</f>
        <v>4月</v>
      </c>
      <c r="D16" s="4" t="s">
        <v>39</v>
      </c>
      <c r="E16" s="4" t="s">
        <v>36</v>
      </c>
      <c r="F16" s="4" t="s">
        <v>57</v>
      </c>
      <c r="G16" s="5" t="n">
        <v>4</v>
      </c>
      <c r="H16" s="6" t="n">
        <v>7480</v>
      </c>
      <c r="I16" s="7" t="n">
        <f aca="false">G16*H16</f>
        <v>29920</v>
      </c>
      <c r="J16" s="4" t="s">
        <v>26</v>
      </c>
      <c r="K16" s="4" t="s">
        <v>41</v>
      </c>
    </row>
    <row r="17" customFormat="false" ht="15" hidden="false" customHeight="false" outlineLevel="0" collapsed="false">
      <c r="A17" s="2" t="n">
        <v>46121</v>
      </c>
      <c r="B17" s="3" t="s">
        <v>58</v>
      </c>
      <c r="C17" s="3" t="str">
        <f aca="false">MONTH(A17)&amp;"月"</f>
        <v>4月</v>
      </c>
      <c r="D17" s="4" t="s">
        <v>29</v>
      </c>
      <c r="E17" s="4" t="s">
        <v>33</v>
      </c>
      <c r="F17" s="4" t="s">
        <v>59</v>
      </c>
      <c r="G17" s="5" t="n">
        <v>3</v>
      </c>
      <c r="H17" s="6" t="n">
        <v>1980</v>
      </c>
      <c r="I17" s="7" t="n">
        <f aca="false">G17*H17</f>
        <v>5940</v>
      </c>
      <c r="J17" s="4" t="s">
        <v>21</v>
      </c>
      <c r="K17" s="4" t="s">
        <v>60</v>
      </c>
    </row>
    <row r="18" customFormat="false" ht="15" hidden="false" customHeight="false" outlineLevel="0" collapsed="false">
      <c r="A18" s="2" t="n">
        <v>46121</v>
      </c>
      <c r="B18" s="3" t="s">
        <v>61</v>
      </c>
      <c r="C18" s="3" t="str">
        <f aca="false">MONTH(A18)&amp;"月"</f>
        <v>4月</v>
      </c>
      <c r="D18" s="4" t="s">
        <v>29</v>
      </c>
      <c r="E18" s="4" t="s">
        <v>36</v>
      </c>
      <c r="F18" s="4" t="s">
        <v>62</v>
      </c>
      <c r="G18" s="5" t="n">
        <v>10</v>
      </c>
      <c r="H18" s="6" t="n">
        <v>1580</v>
      </c>
      <c r="I18" s="7" t="n">
        <f aca="false">G18*H18</f>
        <v>15800</v>
      </c>
      <c r="J18" s="4" t="s">
        <v>15</v>
      </c>
      <c r="K18" s="4" t="s">
        <v>31</v>
      </c>
    </row>
    <row r="19" customFormat="false" ht="15" hidden="false" customHeight="false" outlineLevel="0" collapsed="false">
      <c r="A19" s="2" t="n">
        <v>46122</v>
      </c>
      <c r="B19" s="3" t="s">
        <v>63</v>
      </c>
      <c r="C19" s="3" t="str">
        <f aca="false">MONTH(A19)&amp;"月"</f>
        <v>4月</v>
      </c>
      <c r="D19" s="4" t="s">
        <v>12</v>
      </c>
      <c r="E19" s="4" t="s">
        <v>36</v>
      </c>
      <c r="F19" s="4" t="s">
        <v>57</v>
      </c>
      <c r="G19" s="5" t="n">
        <v>6</v>
      </c>
      <c r="H19" s="6" t="n">
        <v>7480</v>
      </c>
      <c r="I19" s="7" t="n">
        <f aca="false">G19*H19</f>
        <v>44880</v>
      </c>
      <c r="J19" s="4" t="s">
        <v>26</v>
      </c>
      <c r="K19" s="4" t="s">
        <v>16</v>
      </c>
    </row>
    <row r="20" customFormat="false" ht="15" hidden="false" customHeight="false" outlineLevel="0" collapsed="false">
      <c r="A20" s="2" t="n">
        <v>46125</v>
      </c>
      <c r="B20" s="3" t="s">
        <v>64</v>
      </c>
      <c r="C20" s="3" t="str">
        <f aca="false">MONTH(A20)&amp;"月"</f>
        <v>4月</v>
      </c>
      <c r="D20" s="4" t="s">
        <v>65</v>
      </c>
      <c r="E20" s="4" t="s">
        <v>33</v>
      </c>
      <c r="F20" s="4" t="s">
        <v>52</v>
      </c>
      <c r="G20" s="5" t="n">
        <v>2</v>
      </c>
      <c r="H20" s="6" t="n">
        <v>420</v>
      </c>
      <c r="I20" s="7" t="n">
        <f aca="false">G20*H20</f>
        <v>840</v>
      </c>
      <c r="J20" s="4" t="s">
        <v>26</v>
      </c>
      <c r="K20" s="4" t="s">
        <v>66</v>
      </c>
    </row>
    <row r="21" customFormat="false" ht="15" hidden="false" customHeight="false" outlineLevel="0" collapsed="false">
      <c r="A21" s="2" t="n">
        <v>46125</v>
      </c>
      <c r="B21" s="3" t="s">
        <v>67</v>
      </c>
      <c r="C21" s="3" t="str">
        <f aca="false">MONTH(A21)&amp;"月"</f>
        <v>4月</v>
      </c>
      <c r="D21" s="4" t="s">
        <v>39</v>
      </c>
      <c r="E21" s="4" t="s">
        <v>33</v>
      </c>
      <c r="F21" s="4" t="s">
        <v>47</v>
      </c>
      <c r="G21" s="5" t="n">
        <v>1</v>
      </c>
      <c r="H21" s="6" t="n">
        <v>1320</v>
      </c>
      <c r="I21" s="7" t="n">
        <f aca="false">G21*H21</f>
        <v>1320</v>
      </c>
      <c r="J21" s="4" t="s">
        <v>21</v>
      </c>
      <c r="K21" s="4" t="s">
        <v>41</v>
      </c>
    </row>
    <row r="22" customFormat="false" ht="15" hidden="false" customHeight="false" outlineLevel="0" collapsed="false">
      <c r="A22" s="2" t="n">
        <v>46125</v>
      </c>
      <c r="B22" s="3" t="s">
        <v>68</v>
      </c>
      <c r="C22" s="3" t="str">
        <f aca="false">MONTH(A22)&amp;"月"</f>
        <v>4月</v>
      </c>
      <c r="D22" s="4" t="s">
        <v>29</v>
      </c>
      <c r="E22" s="4" t="s">
        <v>36</v>
      </c>
      <c r="F22" s="4" t="s">
        <v>37</v>
      </c>
      <c r="G22" s="5" t="n">
        <v>1</v>
      </c>
      <c r="H22" s="6" t="n">
        <v>18900</v>
      </c>
      <c r="I22" s="7" t="n">
        <f aca="false">G22*H22</f>
        <v>18900</v>
      </c>
      <c r="J22" s="4" t="s">
        <v>26</v>
      </c>
      <c r="K22" s="4" t="s">
        <v>60</v>
      </c>
    </row>
    <row r="23" customFormat="false" ht="15" hidden="false" customHeight="false" outlineLevel="0" collapsed="false">
      <c r="A23" s="2" t="n">
        <v>46126</v>
      </c>
      <c r="B23" s="3" t="s">
        <v>69</v>
      </c>
      <c r="C23" s="3" t="str">
        <f aca="false">MONTH(A23)&amp;"月"</f>
        <v>4月</v>
      </c>
      <c r="D23" s="4" t="s">
        <v>43</v>
      </c>
      <c r="E23" s="4" t="s">
        <v>33</v>
      </c>
      <c r="F23" s="3" t="s">
        <v>70</v>
      </c>
      <c r="G23" s="5" t="n">
        <v>3</v>
      </c>
      <c r="H23" s="6" t="n">
        <v>2480</v>
      </c>
      <c r="I23" s="7" t="n">
        <f aca="false">G23*H23</f>
        <v>7440</v>
      </c>
      <c r="J23" s="4" t="s">
        <v>21</v>
      </c>
      <c r="K23" s="4" t="s">
        <v>44</v>
      </c>
    </row>
    <row r="24" customFormat="false" ht="15" hidden="false" customHeight="false" outlineLevel="0" collapsed="false">
      <c r="A24" s="2" t="n">
        <v>46126</v>
      </c>
      <c r="B24" s="3" t="s">
        <v>71</v>
      </c>
      <c r="C24" s="3" t="str">
        <f aca="false">MONTH(A24)&amp;"月"</f>
        <v>4月</v>
      </c>
      <c r="D24" s="4" t="s">
        <v>43</v>
      </c>
      <c r="E24" s="4" t="s">
        <v>33</v>
      </c>
      <c r="F24" s="4" t="s">
        <v>47</v>
      </c>
      <c r="G24" s="5" t="n">
        <v>2</v>
      </c>
      <c r="H24" s="6" t="n">
        <v>1320</v>
      </c>
      <c r="I24" s="7" t="n">
        <f aca="false">G24*H24</f>
        <v>2640</v>
      </c>
      <c r="J24" s="4" t="s">
        <v>21</v>
      </c>
      <c r="K24" s="4" t="s">
        <v>44</v>
      </c>
    </row>
    <row r="25" customFormat="false" ht="15" hidden="false" customHeight="false" outlineLevel="0" collapsed="false">
      <c r="A25" s="2" t="n">
        <v>46127</v>
      </c>
      <c r="B25" s="3" t="s">
        <v>72</v>
      </c>
      <c r="C25" s="3" t="str">
        <f aca="false">MONTH(A25)&amp;"月"</f>
        <v>4月</v>
      </c>
      <c r="D25" s="4" t="s">
        <v>12</v>
      </c>
      <c r="E25" s="4" t="s">
        <v>36</v>
      </c>
      <c r="F25" s="4" t="s">
        <v>57</v>
      </c>
      <c r="G25" s="5" t="n">
        <v>4</v>
      </c>
      <c r="H25" s="6" t="n">
        <v>7480</v>
      </c>
      <c r="I25" s="7" t="n">
        <f aca="false">G25*H25</f>
        <v>29920</v>
      </c>
      <c r="J25" s="4" t="s">
        <v>26</v>
      </c>
      <c r="K25" s="4" t="s">
        <v>16</v>
      </c>
    </row>
    <row r="26" customFormat="false" ht="15" hidden="false" customHeight="false" outlineLevel="0" collapsed="false">
      <c r="A26" s="2" t="n">
        <v>46127</v>
      </c>
      <c r="B26" s="3" t="s">
        <v>73</v>
      </c>
      <c r="C26" s="3" t="str">
        <f aca="false">MONTH(A26)&amp;"月"</f>
        <v>4月</v>
      </c>
      <c r="D26" s="4" t="s">
        <v>39</v>
      </c>
      <c r="E26" s="4" t="s">
        <v>33</v>
      </c>
      <c r="F26" s="4" t="s">
        <v>34</v>
      </c>
      <c r="G26" s="5" t="n">
        <v>1</v>
      </c>
      <c r="H26" s="6" t="n">
        <v>680</v>
      </c>
      <c r="I26" s="7" t="n">
        <f aca="false">G26*H26</f>
        <v>680</v>
      </c>
      <c r="J26" s="4" t="s">
        <v>21</v>
      </c>
      <c r="K26" s="4" t="s">
        <v>41</v>
      </c>
    </row>
    <row r="27" customFormat="false" ht="15" hidden="false" customHeight="false" outlineLevel="0" collapsed="false">
      <c r="A27" s="2" t="n">
        <v>46127</v>
      </c>
      <c r="B27" s="3" t="s">
        <v>74</v>
      </c>
      <c r="C27" s="3" t="str">
        <f aca="false">MONTH(A27)&amp;"月"</f>
        <v>4月</v>
      </c>
      <c r="D27" s="4" t="s">
        <v>18</v>
      </c>
      <c r="E27" s="4" t="s">
        <v>19</v>
      </c>
      <c r="F27" s="4" t="s">
        <v>20</v>
      </c>
      <c r="G27" s="5" t="n">
        <v>5</v>
      </c>
      <c r="H27" s="6" t="n">
        <v>3150</v>
      </c>
      <c r="I27" s="7" t="n">
        <f aca="false">G27*H27</f>
        <v>15750</v>
      </c>
      <c r="J27" s="4" t="s">
        <v>26</v>
      </c>
      <c r="K27" s="4" t="s">
        <v>22</v>
      </c>
    </row>
    <row r="28" customFormat="false" ht="15" hidden="false" customHeight="false" outlineLevel="0" collapsed="false">
      <c r="A28" s="2" t="n">
        <v>46129</v>
      </c>
      <c r="B28" s="3" t="s">
        <v>75</v>
      </c>
      <c r="C28" s="3" t="str">
        <f aca="false">MONTH(A28)&amp;"月"</f>
        <v>4月</v>
      </c>
      <c r="D28" s="4" t="s">
        <v>29</v>
      </c>
      <c r="E28" s="4" t="s">
        <v>33</v>
      </c>
      <c r="F28" s="4" t="s">
        <v>49</v>
      </c>
      <c r="G28" s="5" t="n">
        <v>6</v>
      </c>
      <c r="H28" s="6" t="n">
        <v>1650</v>
      </c>
      <c r="I28" s="7" t="n">
        <f aca="false">G28*H28</f>
        <v>9900</v>
      </c>
      <c r="J28" s="4" t="s">
        <v>26</v>
      </c>
      <c r="K28" s="4" t="s">
        <v>60</v>
      </c>
    </row>
    <row r="29" customFormat="false" ht="15" hidden="false" customHeight="false" outlineLevel="0" collapsed="false">
      <c r="A29" s="2" t="n">
        <v>46129</v>
      </c>
      <c r="B29" s="3" t="s">
        <v>76</v>
      </c>
      <c r="C29" s="3" t="str">
        <f aca="false">MONTH(A29)&amp;"月"</f>
        <v>4月</v>
      </c>
      <c r="D29" s="4" t="s">
        <v>39</v>
      </c>
      <c r="E29" s="4" t="s">
        <v>19</v>
      </c>
      <c r="F29" s="4" t="s">
        <v>25</v>
      </c>
      <c r="G29" s="5" t="n">
        <v>10</v>
      </c>
      <c r="H29" s="6" t="n">
        <v>1980</v>
      </c>
      <c r="I29" s="7" t="n">
        <f aca="false">G29*H29</f>
        <v>19800</v>
      </c>
      <c r="J29" s="4" t="s">
        <v>21</v>
      </c>
      <c r="K29" s="4" t="s">
        <v>41</v>
      </c>
    </row>
    <row r="30" customFormat="false" ht="15" hidden="false" customHeight="false" outlineLevel="0" collapsed="false">
      <c r="A30" s="2" t="n">
        <v>46132</v>
      </c>
      <c r="B30" s="3" t="s">
        <v>77</v>
      </c>
      <c r="C30" s="3" t="str">
        <f aca="false">MONTH(A30)&amp;"月"</f>
        <v>4月</v>
      </c>
      <c r="D30" s="4" t="s">
        <v>65</v>
      </c>
      <c r="E30" s="4" t="s">
        <v>33</v>
      </c>
      <c r="F30" s="3" t="s">
        <v>70</v>
      </c>
      <c r="G30" s="5" t="n">
        <v>6</v>
      </c>
      <c r="H30" s="6" t="n">
        <v>2480</v>
      </c>
      <c r="I30" s="7" t="n">
        <f aca="false">G30*H30</f>
        <v>14880</v>
      </c>
      <c r="J30" s="4" t="s">
        <v>15</v>
      </c>
      <c r="K30" s="4" t="s">
        <v>66</v>
      </c>
    </row>
    <row r="31" customFormat="false" ht="15" hidden="false" customHeight="false" outlineLevel="0" collapsed="false">
      <c r="A31" s="2" t="n">
        <v>46132</v>
      </c>
      <c r="B31" s="3" t="s">
        <v>78</v>
      </c>
      <c r="C31" s="3" t="str">
        <f aca="false">MONTH(A31)&amp;"月"</f>
        <v>4月</v>
      </c>
      <c r="D31" s="4" t="s">
        <v>65</v>
      </c>
      <c r="E31" s="4" t="s">
        <v>33</v>
      </c>
      <c r="F31" s="4" t="s">
        <v>52</v>
      </c>
      <c r="G31" s="5" t="n">
        <v>10</v>
      </c>
      <c r="H31" s="6" t="n">
        <v>420</v>
      </c>
      <c r="I31" s="7" t="n">
        <f aca="false">G31*H31</f>
        <v>4200</v>
      </c>
      <c r="J31" s="4" t="s">
        <v>26</v>
      </c>
      <c r="K31" s="4" t="s">
        <v>66</v>
      </c>
    </row>
    <row r="32" customFormat="false" ht="15" hidden="false" customHeight="false" outlineLevel="0" collapsed="false">
      <c r="A32" s="2" t="n">
        <v>46133</v>
      </c>
      <c r="B32" s="3" t="s">
        <v>79</v>
      </c>
      <c r="C32" s="3" t="str">
        <f aca="false">MONTH(A32)&amp;"月"</f>
        <v>4月</v>
      </c>
      <c r="D32" s="4" t="s">
        <v>39</v>
      </c>
      <c r="E32" s="4" t="s">
        <v>19</v>
      </c>
      <c r="F32" s="4" t="s">
        <v>25</v>
      </c>
      <c r="G32" s="5" t="n">
        <v>4</v>
      </c>
      <c r="H32" s="6" t="n">
        <v>1980</v>
      </c>
      <c r="I32" s="7" t="n">
        <f aca="false">G32*H32</f>
        <v>7920</v>
      </c>
      <c r="J32" s="4" t="s">
        <v>15</v>
      </c>
      <c r="K32" s="4" t="s">
        <v>41</v>
      </c>
    </row>
    <row r="33" customFormat="false" ht="15" hidden="false" customHeight="false" outlineLevel="0" collapsed="false">
      <c r="A33" s="2" t="n">
        <v>46134</v>
      </c>
      <c r="B33" s="3" t="s">
        <v>80</v>
      </c>
      <c r="C33" s="3" t="str">
        <f aca="false">MONTH(A33)&amp;"月"</f>
        <v>4月</v>
      </c>
      <c r="D33" s="4" t="s">
        <v>18</v>
      </c>
      <c r="E33" s="4" t="s">
        <v>33</v>
      </c>
      <c r="F33" s="3" t="s">
        <v>70</v>
      </c>
      <c r="G33" s="5" t="n">
        <v>3</v>
      </c>
      <c r="H33" s="6" t="n">
        <v>2480</v>
      </c>
      <c r="I33" s="7" t="n">
        <f aca="false">G33*H33</f>
        <v>7440</v>
      </c>
      <c r="J33" s="4" t="s">
        <v>15</v>
      </c>
      <c r="K33" s="4" t="s">
        <v>22</v>
      </c>
    </row>
    <row r="34" customFormat="false" ht="15" hidden="false" customHeight="false" outlineLevel="0" collapsed="false">
      <c r="A34" s="2" t="n">
        <v>46134</v>
      </c>
      <c r="B34" s="3" t="s">
        <v>81</v>
      </c>
      <c r="C34" s="3" t="str">
        <f aca="false">MONTH(A34)&amp;"月"</f>
        <v>4月</v>
      </c>
      <c r="D34" s="4" t="s">
        <v>65</v>
      </c>
      <c r="E34" s="4" t="s">
        <v>19</v>
      </c>
      <c r="F34" s="4" t="s">
        <v>82</v>
      </c>
      <c r="G34" s="5" t="n">
        <v>10</v>
      </c>
      <c r="H34" s="6" t="n">
        <v>4680</v>
      </c>
      <c r="I34" s="7" t="n">
        <f aca="false">G34*H34</f>
        <v>46800</v>
      </c>
      <c r="J34" s="4" t="s">
        <v>26</v>
      </c>
      <c r="K34" s="4" t="s">
        <v>66</v>
      </c>
    </row>
    <row r="35" customFormat="false" ht="15" hidden="false" customHeight="false" outlineLevel="0" collapsed="false">
      <c r="A35" s="2" t="n">
        <v>46135</v>
      </c>
      <c r="B35" s="3" t="s">
        <v>83</v>
      </c>
      <c r="C35" s="3" t="str">
        <f aca="false">MONTH(A35)&amp;"月"</f>
        <v>4月</v>
      </c>
      <c r="D35" s="4" t="s">
        <v>18</v>
      </c>
      <c r="E35" s="4" t="s">
        <v>19</v>
      </c>
      <c r="F35" s="4" t="s">
        <v>25</v>
      </c>
      <c r="G35" s="5" t="n">
        <v>5</v>
      </c>
      <c r="H35" s="6" t="n">
        <v>1980</v>
      </c>
      <c r="I35" s="7" t="n">
        <f aca="false">G35*H35</f>
        <v>9900</v>
      </c>
      <c r="J35" s="4" t="s">
        <v>15</v>
      </c>
      <c r="K35" s="4" t="s">
        <v>22</v>
      </c>
    </row>
    <row r="36" customFormat="false" ht="15" hidden="false" customHeight="false" outlineLevel="0" collapsed="false">
      <c r="A36" s="2" t="n">
        <v>46136</v>
      </c>
      <c r="B36" s="3" t="s">
        <v>84</v>
      </c>
      <c r="C36" s="3" t="str">
        <f aca="false">MONTH(A36)&amp;"月"</f>
        <v>4月</v>
      </c>
      <c r="D36" s="4" t="s">
        <v>39</v>
      </c>
      <c r="E36" s="4" t="s">
        <v>33</v>
      </c>
      <c r="F36" s="4" t="s">
        <v>49</v>
      </c>
      <c r="G36" s="5" t="n">
        <v>2</v>
      </c>
      <c r="H36" s="6" t="n">
        <v>1650</v>
      </c>
      <c r="I36" s="7" t="n">
        <f aca="false">G36*H36</f>
        <v>3300</v>
      </c>
      <c r="J36" s="4" t="s">
        <v>21</v>
      </c>
      <c r="K36" s="4" t="s">
        <v>41</v>
      </c>
    </row>
    <row r="37" customFormat="false" ht="15" hidden="false" customHeight="false" outlineLevel="0" collapsed="false">
      <c r="A37" s="2" t="n">
        <v>46136</v>
      </c>
      <c r="B37" s="3" t="s">
        <v>85</v>
      </c>
      <c r="C37" s="3" t="str">
        <f aca="false">MONTH(A37)&amp;"月"</f>
        <v>4月</v>
      </c>
      <c r="D37" s="4" t="s">
        <v>39</v>
      </c>
      <c r="E37" s="4" t="s">
        <v>33</v>
      </c>
      <c r="F37" s="4" t="s">
        <v>59</v>
      </c>
      <c r="G37" s="5" t="n">
        <v>6</v>
      </c>
      <c r="H37" s="6" t="n">
        <v>1980</v>
      </c>
      <c r="I37" s="7" t="n">
        <f aca="false">G37*H37</f>
        <v>11880</v>
      </c>
      <c r="J37" s="4" t="s">
        <v>15</v>
      </c>
      <c r="K37" s="4" t="s">
        <v>41</v>
      </c>
    </row>
    <row r="38" customFormat="false" ht="15" hidden="false" customHeight="false" outlineLevel="0" collapsed="false">
      <c r="A38" s="2" t="n">
        <v>46136</v>
      </c>
      <c r="B38" s="3" t="s">
        <v>86</v>
      </c>
      <c r="C38" s="3" t="str">
        <f aca="false">MONTH(A38)&amp;"月"</f>
        <v>4月</v>
      </c>
      <c r="D38" s="4" t="s">
        <v>39</v>
      </c>
      <c r="E38" s="3" t="s">
        <v>13</v>
      </c>
      <c r="F38" s="4" t="s">
        <v>30</v>
      </c>
      <c r="G38" s="5" t="n">
        <v>2</v>
      </c>
      <c r="H38" s="6" t="n">
        <v>3980</v>
      </c>
      <c r="I38" s="7" t="n">
        <f aca="false">G38*H38</f>
        <v>7960</v>
      </c>
      <c r="J38" s="4" t="s">
        <v>26</v>
      </c>
      <c r="K38" s="4" t="s">
        <v>41</v>
      </c>
    </row>
    <row r="39" customFormat="false" ht="15" hidden="false" customHeight="false" outlineLevel="0" collapsed="false">
      <c r="A39" s="2" t="n">
        <v>46136</v>
      </c>
      <c r="B39" s="3" t="s">
        <v>87</v>
      </c>
      <c r="C39" s="3" t="str">
        <f aca="false">MONTH(A39)&amp;"月"</f>
        <v>4月</v>
      </c>
      <c r="D39" s="4" t="s">
        <v>24</v>
      </c>
      <c r="E39" s="4" t="s">
        <v>33</v>
      </c>
      <c r="F39" s="4" t="s">
        <v>47</v>
      </c>
      <c r="G39" s="5" t="n">
        <v>10</v>
      </c>
      <c r="H39" s="6" t="n">
        <v>1320</v>
      </c>
      <c r="I39" s="7" t="n">
        <f aca="false">G39*H39</f>
        <v>13200</v>
      </c>
      <c r="J39" s="4" t="s">
        <v>21</v>
      </c>
      <c r="K39" s="4" t="s">
        <v>27</v>
      </c>
    </row>
    <row r="40" customFormat="false" ht="15" hidden="false" customHeight="false" outlineLevel="0" collapsed="false">
      <c r="A40" s="2" t="n">
        <v>46136</v>
      </c>
      <c r="B40" s="3" t="s">
        <v>88</v>
      </c>
      <c r="C40" s="3" t="str">
        <f aca="false">MONTH(A40)&amp;"月"</f>
        <v>4月</v>
      </c>
      <c r="D40" s="4" t="s">
        <v>24</v>
      </c>
      <c r="E40" s="4" t="s">
        <v>36</v>
      </c>
      <c r="F40" s="4" t="s">
        <v>37</v>
      </c>
      <c r="G40" s="5" t="n">
        <v>1</v>
      </c>
      <c r="H40" s="6" t="n">
        <v>18900</v>
      </c>
      <c r="I40" s="7" t="n">
        <f aca="false">G40*H40</f>
        <v>18900</v>
      </c>
      <c r="J40" s="4" t="s">
        <v>15</v>
      </c>
      <c r="K40" s="4" t="s">
        <v>27</v>
      </c>
    </row>
    <row r="41" customFormat="false" ht="15" hidden="false" customHeight="false" outlineLevel="0" collapsed="false">
      <c r="A41" s="2" t="n">
        <v>46136</v>
      </c>
      <c r="B41" s="3" t="s">
        <v>89</v>
      </c>
      <c r="C41" s="3" t="str">
        <f aca="false">MONTH(A41)&amp;"月"</f>
        <v>4月</v>
      </c>
      <c r="D41" s="4" t="s">
        <v>39</v>
      </c>
      <c r="E41" s="4" t="s">
        <v>33</v>
      </c>
      <c r="F41" s="3" t="s">
        <v>70</v>
      </c>
      <c r="G41" s="5" t="n">
        <v>6</v>
      </c>
      <c r="H41" s="6" t="n">
        <v>2480</v>
      </c>
      <c r="I41" s="7" t="n">
        <f aca="false">G41*H41</f>
        <v>14880</v>
      </c>
      <c r="J41" s="4" t="s">
        <v>26</v>
      </c>
      <c r="K41" s="4" t="s">
        <v>41</v>
      </c>
    </row>
    <row r="42" customFormat="false" ht="15" hidden="false" customHeight="false" outlineLevel="0" collapsed="false">
      <c r="A42" s="2" t="n">
        <v>46139</v>
      </c>
      <c r="B42" s="3" t="s">
        <v>90</v>
      </c>
      <c r="C42" s="3" t="str">
        <f aca="false">MONTH(A42)&amp;"月"</f>
        <v>4月</v>
      </c>
      <c r="D42" s="4" t="s">
        <v>29</v>
      </c>
      <c r="E42" s="3" t="s">
        <v>13</v>
      </c>
      <c r="F42" s="4" t="s">
        <v>91</v>
      </c>
      <c r="G42" s="5" t="n">
        <v>1</v>
      </c>
      <c r="H42" s="6" t="n">
        <v>5980</v>
      </c>
      <c r="I42" s="7" t="n">
        <f aca="false">G42*H42</f>
        <v>5980</v>
      </c>
      <c r="J42" s="4" t="s">
        <v>21</v>
      </c>
      <c r="K42" s="4" t="s">
        <v>60</v>
      </c>
    </row>
    <row r="43" customFormat="false" ht="15" hidden="false" customHeight="false" outlineLevel="0" collapsed="false">
      <c r="A43" s="2" t="n">
        <v>46139</v>
      </c>
      <c r="B43" s="3" t="s">
        <v>92</v>
      </c>
      <c r="C43" s="3" t="str">
        <f aca="false">MONTH(A43)&amp;"月"</f>
        <v>4月</v>
      </c>
      <c r="D43" s="4" t="s">
        <v>65</v>
      </c>
      <c r="E43" s="4" t="s">
        <v>33</v>
      </c>
      <c r="F43" s="4" t="s">
        <v>47</v>
      </c>
      <c r="G43" s="5" t="n">
        <v>5</v>
      </c>
      <c r="H43" s="6" t="n">
        <v>1320</v>
      </c>
      <c r="I43" s="7" t="n">
        <f aca="false">G43*H43</f>
        <v>6600</v>
      </c>
      <c r="J43" s="4" t="s">
        <v>26</v>
      </c>
      <c r="K43" s="4" t="s">
        <v>66</v>
      </c>
    </row>
    <row r="44" customFormat="false" ht="15" hidden="false" customHeight="false" outlineLevel="0" collapsed="false">
      <c r="A44" s="2" t="n">
        <v>46139</v>
      </c>
      <c r="B44" s="3" t="s">
        <v>93</v>
      </c>
      <c r="C44" s="3" t="str">
        <f aca="false">MONTH(A44)&amp;"月"</f>
        <v>4月</v>
      </c>
      <c r="D44" s="4" t="s">
        <v>12</v>
      </c>
      <c r="E44" s="4" t="s">
        <v>19</v>
      </c>
      <c r="F44" s="4" t="s">
        <v>82</v>
      </c>
      <c r="G44" s="5" t="n">
        <v>5</v>
      </c>
      <c r="H44" s="6" t="n">
        <v>4680</v>
      </c>
      <c r="I44" s="7" t="n">
        <f aca="false">G44*H44</f>
        <v>23400</v>
      </c>
      <c r="J44" s="4" t="s">
        <v>15</v>
      </c>
      <c r="K44" s="4" t="s">
        <v>16</v>
      </c>
    </row>
    <row r="45" customFormat="false" ht="15" hidden="false" customHeight="false" outlineLevel="0" collapsed="false">
      <c r="A45" s="2" t="n">
        <v>46140</v>
      </c>
      <c r="B45" s="3" t="s">
        <v>94</v>
      </c>
      <c r="C45" s="3" t="str">
        <f aca="false">MONTH(A45)&amp;"月"</f>
        <v>4月</v>
      </c>
      <c r="D45" s="4" t="s">
        <v>43</v>
      </c>
      <c r="E45" s="4" t="s">
        <v>33</v>
      </c>
      <c r="F45" s="4" t="s">
        <v>59</v>
      </c>
      <c r="G45" s="5" t="n">
        <v>5</v>
      </c>
      <c r="H45" s="6" t="n">
        <v>1980</v>
      </c>
      <c r="I45" s="7" t="n">
        <f aca="false">G45*H45</f>
        <v>9900</v>
      </c>
      <c r="J45" s="4" t="s">
        <v>21</v>
      </c>
      <c r="K45" s="4" t="s">
        <v>44</v>
      </c>
    </row>
    <row r="46" customFormat="false" ht="15" hidden="false" customHeight="false" outlineLevel="0" collapsed="false">
      <c r="A46" s="2" t="n">
        <v>46140</v>
      </c>
      <c r="B46" s="3" t="s">
        <v>95</v>
      </c>
      <c r="C46" s="3" t="str">
        <f aca="false">MONTH(A46)&amp;"月"</f>
        <v>4月</v>
      </c>
      <c r="D46" s="4" t="s">
        <v>12</v>
      </c>
      <c r="E46" s="4" t="s">
        <v>33</v>
      </c>
      <c r="F46" s="4" t="s">
        <v>59</v>
      </c>
      <c r="G46" s="5" t="n">
        <v>10</v>
      </c>
      <c r="H46" s="6" t="n">
        <v>1980</v>
      </c>
      <c r="I46" s="7" t="n">
        <f aca="false">G46*H46</f>
        <v>19800</v>
      </c>
      <c r="J46" s="4" t="s">
        <v>26</v>
      </c>
      <c r="K46" s="4" t="s">
        <v>16</v>
      </c>
    </row>
    <row r="47" customFormat="false" ht="15" hidden="false" customHeight="false" outlineLevel="0" collapsed="false">
      <c r="A47" s="2" t="n">
        <v>46140</v>
      </c>
      <c r="B47" s="3" t="s">
        <v>96</v>
      </c>
      <c r="C47" s="3" t="str">
        <f aca="false">MONTH(A47)&amp;"月"</f>
        <v>4月</v>
      </c>
      <c r="D47" s="4" t="s">
        <v>39</v>
      </c>
      <c r="E47" s="4" t="s">
        <v>33</v>
      </c>
      <c r="F47" s="4" t="s">
        <v>34</v>
      </c>
      <c r="G47" s="5" t="n">
        <v>2</v>
      </c>
      <c r="H47" s="6" t="n">
        <v>680</v>
      </c>
      <c r="I47" s="7" t="n">
        <f aca="false">G47*H47</f>
        <v>1360</v>
      </c>
      <c r="J47" s="4" t="s">
        <v>26</v>
      </c>
      <c r="K47" s="4" t="s">
        <v>41</v>
      </c>
    </row>
    <row r="48" customFormat="false" ht="15" hidden="false" customHeight="false" outlineLevel="0" collapsed="false">
      <c r="A48" s="2" t="n">
        <v>46141</v>
      </c>
      <c r="B48" s="3" t="s">
        <v>97</v>
      </c>
      <c r="C48" s="3" t="str">
        <f aca="false">MONTH(A48)&amp;"月"</f>
        <v>4月</v>
      </c>
      <c r="D48" s="4" t="s">
        <v>39</v>
      </c>
      <c r="E48" s="4" t="s">
        <v>33</v>
      </c>
      <c r="F48" s="4" t="s">
        <v>34</v>
      </c>
      <c r="G48" s="5" t="n">
        <v>1</v>
      </c>
      <c r="H48" s="6" t="n">
        <v>680</v>
      </c>
      <c r="I48" s="7" t="n">
        <f aca="false">G48*H48</f>
        <v>680</v>
      </c>
      <c r="J48" s="4" t="s">
        <v>21</v>
      </c>
      <c r="K48" s="4" t="s">
        <v>41</v>
      </c>
    </row>
    <row r="49" customFormat="false" ht="15" hidden="false" customHeight="false" outlineLevel="0" collapsed="false">
      <c r="A49" s="2" t="n">
        <v>46141</v>
      </c>
      <c r="B49" s="3" t="s">
        <v>98</v>
      </c>
      <c r="C49" s="3" t="str">
        <f aca="false">MONTH(A49)&amp;"月"</f>
        <v>4月</v>
      </c>
      <c r="D49" s="4" t="s">
        <v>43</v>
      </c>
      <c r="E49" s="4" t="s">
        <v>33</v>
      </c>
      <c r="F49" s="4" t="s">
        <v>52</v>
      </c>
      <c r="G49" s="5" t="n">
        <v>2</v>
      </c>
      <c r="H49" s="6" t="n">
        <v>420</v>
      </c>
      <c r="I49" s="7" t="n">
        <f aca="false">G49*H49</f>
        <v>840</v>
      </c>
      <c r="J49" s="4" t="s">
        <v>21</v>
      </c>
      <c r="K49" s="4" t="s">
        <v>44</v>
      </c>
    </row>
    <row r="50" customFormat="false" ht="15" hidden="false" customHeight="false" outlineLevel="0" collapsed="false">
      <c r="A50" s="2" t="n">
        <v>46141</v>
      </c>
      <c r="B50" s="3" t="s">
        <v>99</v>
      </c>
      <c r="C50" s="3" t="str">
        <f aca="false">MONTH(A50)&amp;"月"</f>
        <v>4月</v>
      </c>
      <c r="D50" s="4" t="s">
        <v>39</v>
      </c>
      <c r="E50" s="4" t="s">
        <v>33</v>
      </c>
      <c r="F50" s="3" t="s">
        <v>70</v>
      </c>
      <c r="G50" s="5" t="n">
        <v>2</v>
      </c>
      <c r="H50" s="6" t="n">
        <v>2480</v>
      </c>
      <c r="I50" s="7" t="n">
        <f aca="false">G50*H50</f>
        <v>4960</v>
      </c>
      <c r="J50" s="4" t="s">
        <v>15</v>
      </c>
      <c r="K50" s="4" t="s">
        <v>41</v>
      </c>
    </row>
    <row r="51" customFormat="false" ht="15" hidden="false" customHeight="false" outlineLevel="0" collapsed="false">
      <c r="A51" s="2" t="n">
        <v>46143</v>
      </c>
      <c r="B51" s="3" t="s">
        <v>100</v>
      </c>
      <c r="C51" s="3" t="str">
        <f aca="false">MONTH(A51)&amp;"月"</f>
        <v>5月</v>
      </c>
      <c r="D51" s="4" t="s">
        <v>43</v>
      </c>
      <c r="E51" s="4" t="s">
        <v>33</v>
      </c>
      <c r="F51" s="4" t="s">
        <v>34</v>
      </c>
      <c r="G51" s="5" t="n">
        <v>6</v>
      </c>
      <c r="H51" s="6" t="n">
        <v>680</v>
      </c>
      <c r="I51" s="7" t="n">
        <f aca="false">G51*H51</f>
        <v>4080</v>
      </c>
      <c r="J51" s="4" t="s">
        <v>21</v>
      </c>
      <c r="K51" s="4" t="s">
        <v>44</v>
      </c>
    </row>
    <row r="52" customFormat="false" ht="15" hidden="false" customHeight="false" outlineLevel="0" collapsed="false">
      <c r="A52" s="2" t="n">
        <v>46143</v>
      </c>
      <c r="B52" s="3" t="s">
        <v>101</v>
      </c>
      <c r="C52" s="3" t="str">
        <f aca="false">MONTH(A52)&amp;"月"</f>
        <v>5月</v>
      </c>
      <c r="D52" s="4" t="s">
        <v>54</v>
      </c>
      <c r="E52" s="3" t="s">
        <v>13</v>
      </c>
      <c r="F52" s="4" t="s">
        <v>91</v>
      </c>
      <c r="G52" s="5" t="n">
        <v>6</v>
      </c>
      <c r="H52" s="6" t="n">
        <v>5980</v>
      </c>
      <c r="I52" s="7" t="n">
        <f aca="false">G52*H52</f>
        <v>35880</v>
      </c>
      <c r="J52" s="4" t="s">
        <v>26</v>
      </c>
      <c r="K52" s="4" t="s">
        <v>55</v>
      </c>
    </row>
    <row r="53" customFormat="false" ht="15" hidden="false" customHeight="false" outlineLevel="0" collapsed="false">
      <c r="A53" s="2" t="n">
        <v>46143</v>
      </c>
      <c r="B53" s="3" t="s">
        <v>102</v>
      </c>
      <c r="C53" s="3" t="str">
        <f aca="false">MONTH(A53)&amp;"月"</f>
        <v>5月</v>
      </c>
      <c r="D53" s="4" t="s">
        <v>65</v>
      </c>
      <c r="E53" s="3" t="s">
        <v>13</v>
      </c>
      <c r="F53" s="4" t="s">
        <v>30</v>
      </c>
      <c r="G53" s="5" t="n">
        <v>3</v>
      </c>
      <c r="H53" s="6" t="n">
        <v>3980</v>
      </c>
      <c r="I53" s="7" t="n">
        <f aca="false">G53*H53</f>
        <v>11940</v>
      </c>
      <c r="J53" s="4" t="s">
        <v>26</v>
      </c>
      <c r="K53" s="4" t="s">
        <v>66</v>
      </c>
    </row>
    <row r="54" customFormat="false" ht="15" hidden="false" customHeight="false" outlineLevel="0" collapsed="false">
      <c r="A54" s="2" t="n">
        <v>46146</v>
      </c>
      <c r="B54" s="3" t="s">
        <v>103</v>
      </c>
      <c r="C54" s="3" t="str">
        <f aca="false">MONTH(A54)&amp;"月"</f>
        <v>5月</v>
      </c>
      <c r="D54" s="4" t="s">
        <v>39</v>
      </c>
      <c r="E54" s="4" t="s">
        <v>33</v>
      </c>
      <c r="F54" s="4" t="s">
        <v>47</v>
      </c>
      <c r="G54" s="5" t="n">
        <v>10</v>
      </c>
      <c r="H54" s="6" t="n">
        <v>1320</v>
      </c>
      <c r="I54" s="7" t="n">
        <f aca="false">G54*H54</f>
        <v>13200</v>
      </c>
      <c r="J54" s="4" t="s">
        <v>21</v>
      </c>
      <c r="K54" s="4" t="s">
        <v>41</v>
      </c>
    </row>
    <row r="55" customFormat="false" ht="15" hidden="false" customHeight="false" outlineLevel="0" collapsed="false">
      <c r="A55" s="2" t="n">
        <v>46146</v>
      </c>
      <c r="B55" s="3" t="s">
        <v>104</v>
      </c>
      <c r="C55" s="3" t="str">
        <f aca="false">MONTH(A55)&amp;"月"</f>
        <v>5月</v>
      </c>
      <c r="D55" s="4" t="s">
        <v>18</v>
      </c>
      <c r="E55" s="4" t="s">
        <v>105</v>
      </c>
      <c r="F55" s="4" t="s">
        <v>106</v>
      </c>
      <c r="G55" s="5" t="n">
        <v>1</v>
      </c>
      <c r="H55" s="6" t="n">
        <v>9800</v>
      </c>
      <c r="I55" s="7" t="n">
        <f aca="false">G55*H55</f>
        <v>9800</v>
      </c>
      <c r="J55" s="4" t="s">
        <v>26</v>
      </c>
      <c r="K55" s="4" t="s">
        <v>22</v>
      </c>
    </row>
    <row r="56" customFormat="false" ht="15" hidden="false" customHeight="false" outlineLevel="0" collapsed="false">
      <c r="A56" s="2" t="n">
        <v>46146</v>
      </c>
      <c r="B56" s="3" t="s">
        <v>107</v>
      </c>
      <c r="C56" s="3" t="str">
        <f aca="false">MONTH(A56)&amp;"月"</f>
        <v>5月</v>
      </c>
      <c r="D56" s="4" t="s">
        <v>29</v>
      </c>
      <c r="E56" s="3" t="s">
        <v>13</v>
      </c>
      <c r="F56" s="4" t="s">
        <v>91</v>
      </c>
      <c r="G56" s="5" t="n">
        <v>1</v>
      </c>
      <c r="H56" s="6" t="n">
        <v>5980</v>
      </c>
      <c r="I56" s="7" t="n">
        <f aca="false">G56*H56</f>
        <v>5980</v>
      </c>
      <c r="J56" s="4" t="s">
        <v>15</v>
      </c>
      <c r="K56" s="4" t="s">
        <v>31</v>
      </c>
    </row>
    <row r="57" customFormat="false" ht="15" hidden="false" customHeight="false" outlineLevel="0" collapsed="false">
      <c r="A57" s="2" t="n">
        <v>46147</v>
      </c>
      <c r="B57" s="3" t="s">
        <v>108</v>
      </c>
      <c r="C57" s="3" t="str">
        <f aca="false">MONTH(A57)&amp;"月"</f>
        <v>5月</v>
      </c>
      <c r="D57" s="4" t="s">
        <v>54</v>
      </c>
      <c r="E57" s="3" t="s">
        <v>13</v>
      </c>
      <c r="F57" s="3" t="s">
        <v>40</v>
      </c>
      <c r="G57" s="5" t="n">
        <v>3</v>
      </c>
      <c r="H57" s="6" t="n">
        <v>6480</v>
      </c>
      <c r="I57" s="7" t="n">
        <f aca="false">G57*H57</f>
        <v>19440</v>
      </c>
      <c r="J57" s="4" t="s">
        <v>26</v>
      </c>
      <c r="K57" s="4" t="s">
        <v>55</v>
      </c>
    </row>
    <row r="58" customFormat="false" ht="15" hidden="false" customHeight="false" outlineLevel="0" collapsed="false">
      <c r="A58" s="2" t="n">
        <v>46149</v>
      </c>
      <c r="B58" s="3" t="s">
        <v>109</v>
      </c>
      <c r="C58" s="3" t="str">
        <f aca="false">MONTH(A58)&amp;"月"</f>
        <v>5月</v>
      </c>
      <c r="D58" s="4" t="s">
        <v>39</v>
      </c>
      <c r="E58" s="4" t="s">
        <v>33</v>
      </c>
      <c r="F58" s="3" t="s">
        <v>70</v>
      </c>
      <c r="G58" s="5" t="n">
        <v>2</v>
      </c>
      <c r="H58" s="6" t="n">
        <v>2480</v>
      </c>
      <c r="I58" s="7" t="n">
        <f aca="false">G58*H58</f>
        <v>4960</v>
      </c>
      <c r="J58" s="4" t="s">
        <v>26</v>
      </c>
      <c r="K58" s="4" t="s">
        <v>41</v>
      </c>
    </row>
    <row r="59" customFormat="false" ht="15" hidden="false" customHeight="false" outlineLevel="0" collapsed="false">
      <c r="A59" s="2" t="n">
        <v>46149</v>
      </c>
      <c r="B59" s="3" t="s">
        <v>110</v>
      </c>
      <c r="C59" s="3" t="str">
        <f aca="false">MONTH(A59)&amp;"月"</f>
        <v>5月</v>
      </c>
      <c r="D59" s="4" t="s">
        <v>39</v>
      </c>
      <c r="E59" s="4" t="s">
        <v>33</v>
      </c>
      <c r="F59" s="4" t="s">
        <v>52</v>
      </c>
      <c r="G59" s="5" t="n">
        <v>10</v>
      </c>
      <c r="H59" s="6" t="n">
        <v>420</v>
      </c>
      <c r="I59" s="7" t="n">
        <f aca="false">G59*H59</f>
        <v>4200</v>
      </c>
      <c r="J59" s="4" t="s">
        <v>26</v>
      </c>
      <c r="K59" s="4" t="s">
        <v>41</v>
      </c>
    </row>
    <row r="60" customFormat="false" ht="15" hidden="false" customHeight="false" outlineLevel="0" collapsed="false">
      <c r="A60" s="2" t="n">
        <v>46150</v>
      </c>
      <c r="B60" s="3" t="s">
        <v>111</v>
      </c>
      <c r="C60" s="3" t="str">
        <f aca="false">MONTH(A60)&amp;"月"</f>
        <v>5月</v>
      </c>
      <c r="D60" s="4" t="s">
        <v>54</v>
      </c>
      <c r="E60" s="3" t="s">
        <v>13</v>
      </c>
      <c r="F60" s="4" t="s">
        <v>91</v>
      </c>
      <c r="G60" s="5" t="n">
        <v>2</v>
      </c>
      <c r="H60" s="6" t="n">
        <v>5980</v>
      </c>
      <c r="I60" s="7" t="n">
        <f aca="false">G60*H60</f>
        <v>11960</v>
      </c>
      <c r="J60" s="4" t="s">
        <v>26</v>
      </c>
      <c r="K60" s="4" t="s">
        <v>55</v>
      </c>
    </row>
    <row r="61" customFormat="false" ht="15" hidden="false" customHeight="false" outlineLevel="0" collapsed="false">
      <c r="A61" s="2" t="n">
        <v>46150</v>
      </c>
      <c r="B61" s="3" t="s">
        <v>112</v>
      </c>
      <c r="C61" s="3" t="str">
        <f aca="false">MONTH(A61)&amp;"月"</f>
        <v>5月</v>
      </c>
      <c r="D61" s="4" t="s">
        <v>39</v>
      </c>
      <c r="E61" s="3" t="s">
        <v>13</v>
      </c>
      <c r="F61" s="3" t="s">
        <v>40</v>
      </c>
      <c r="G61" s="5" t="n">
        <v>2</v>
      </c>
      <c r="H61" s="6" t="n">
        <v>6480</v>
      </c>
      <c r="I61" s="7" t="n">
        <f aca="false">G61*H61</f>
        <v>12960</v>
      </c>
      <c r="J61" s="4" t="s">
        <v>21</v>
      </c>
      <c r="K61" s="4" t="s">
        <v>41</v>
      </c>
    </row>
    <row r="62" customFormat="false" ht="15" hidden="false" customHeight="false" outlineLevel="0" collapsed="false">
      <c r="A62" s="2" t="n">
        <v>46153</v>
      </c>
      <c r="B62" s="3" t="s">
        <v>113</v>
      </c>
      <c r="C62" s="3" t="str">
        <f aca="false">MONTH(A62)&amp;"月"</f>
        <v>5月</v>
      </c>
      <c r="D62" s="4" t="s">
        <v>12</v>
      </c>
      <c r="E62" s="3" t="s">
        <v>13</v>
      </c>
      <c r="F62" s="3" t="s">
        <v>40</v>
      </c>
      <c r="G62" s="5" t="n">
        <v>2</v>
      </c>
      <c r="H62" s="6" t="n">
        <v>6480</v>
      </c>
      <c r="I62" s="7" t="n">
        <f aca="false">G62*H62</f>
        <v>12960</v>
      </c>
      <c r="J62" s="4" t="s">
        <v>26</v>
      </c>
      <c r="K62" s="4" t="s">
        <v>16</v>
      </c>
    </row>
    <row r="63" customFormat="false" ht="15" hidden="false" customHeight="false" outlineLevel="0" collapsed="false">
      <c r="A63" s="2" t="n">
        <v>46153</v>
      </c>
      <c r="B63" s="3" t="s">
        <v>114</v>
      </c>
      <c r="C63" s="3" t="str">
        <f aca="false">MONTH(A63)&amp;"月"</f>
        <v>5月</v>
      </c>
      <c r="D63" s="4" t="s">
        <v>29</v>
      </c>
      <c r="E63" s="4" t="s">
        <v>36</v>
      </c>
      <c r="F63" s="4" t="s">
        <v>57</v>
      </c>
      <c r="G63" s="5" t="n">
        <v>10</v>
      </c>
      <c r="H63" s="6" t="n">
        <v>7480</v>
      </c>
      <c r="I63" s="7" t="n">
        <f aca="false">G63*H63</f>
        <v>74800</v>
      </c>
      <c r="J63" s="4" t="s">
        <v>15</v>
      </c>
      <c r="K63" s="4" t="s">
        <v>115</v>
      </c>
    </row>
    <row r="64" customFormat="false" ht="15" hidden="false" customHeight="false" outlineLevel="0" collapsed="false">
      <c r="A64" s="2" t="n">
        <v>46154</v>
      </c>
      <c r="B64" s="3" t="s">
        <v>116</v>
      </c>
      <c r="C64" s="3" t="str">
        <f aca="false">MONTH(A64)&amp;"月"</f>
        <v>5月</v>
      </c>
      <c r="D64" s="4" t="s">
        <v>12</v>
      </c>
      <c r="E64" s="3" t="s">
        <v>13</v>
      </c>
      <c r="F64" s="3" t="s">
        <v>40</v>
      </c>
      <c r="G64" s="5" t="n">
        <v>4</v>
      </c>
      <c r="H64" s="6" t="n">
        <v>6480</v>
      </c>
      <c r="I64" s="7" t="n">
        <f aca="false">G64*H64</f>
        <v>25920</v>
      </c>
      <c r="J64" s="4" t="s">
        <v>15</v>
      </c>
      <c r="K64" s="4" t="s">
        <v>16</v>
      </c>
    </row>
    <row r="65" customFormat="false" ht="15" hidden="false" customHeight="false" outlineLevel="0" collapsed="false">
      <c r="A65" s="2" t="n">
        <v>46155</v>
      </c>
      <c r="B65" s="3" t="s">
        <v>117</v>
      </c>
      <c r="C65" s="3" t="str">
        <f aca="false">MONTH(A65)&amp;"月"</f>
        <v>5月</v>
      </c>
      <c r="D65" s="4" t="s">
        <v>18</v>
      </c>
      <c r="E65" s="4" t="s">
        <v>33</v>
      </c>
      <c r="F65" s="4" t="s">
        <v>47</v>
      </c>
      <c r="G65" s="5" t="n">
        <v>3</v>
      </c>
      <c r="H65" s="6" t="n">
        <v>1320</v>
      </c>
      <c r="I65" s="7" t="n">
        <f aca="false">G65*H65</f>
        <v>3960</v>
      </c>
      <c r="J65" s="4" t="s">
        <v>26</v>
      </c>
      <c r="K65" s="4" t="s">
        <v>22</v>
      </c>
    </row>
    <row r="66" customFormat="false" ht="15" hidden="false" customHeight="false" outlineLevel="0" collapsed="false">
      <c r="A66" s="2" t="n">
        <v>46156</v>
      </c>
      <c r="B66" s="3" t="s">
        <v>118</v>
      </c>
      <c r="C66" s="3" t="str">
        <f aca="false">MONTH(A66)&amp;"月"</f>
        <v>5月</v>
      </c>
      <c r="D66" s="4" t="s">
        <v>29</v>
      </c>
      <c r="E66" s="4" t="s">
        <v>33</v>
      </c>
      <c r="F66" s="4" t="s">
        <v>59</v>
      </c>
      <c r="G66" s="5" t="n">
        <v>4</v>
      </c>
      <c r="H66" s="6" t="n">
        <v>1980</v>
      </c>
      <c r="I66" s="7" t="n">
        <f aca="false">G66*H66</f>
        <v>7920</v>
      </c>
      <c r="J66" s="4" t="s">
        <v>15</v>
      </c>
      <c r="K66" s="4" t="s">
        <v>31</v>
      </c>
    </row>
    <row r="67" customFormat="false" ht="15" hidden="false" customHeight="false" outlineLevel="0" collapsed="false">
      <c r="A67" s="2" t="n">
        <v>46156</v>
      </c>
      <c r="B67" s="3" t="s">
        <v>119</v>
      </c>
      <c r="C67" s="3" t="str">
        <f aca="false">MONTH(A67)&amp;"月"</f>
        <v>5月</v>
      </c>
      <c r="D67" s="4" t="s">
        <v>65</v>
      </c>
      <c r="E67" s="4" t="s">
        <v>36</v>
      </c>
      <c r="F67" s="4" t="s">
        <v>37</v>
      </c>
      <c r="G67" s="5" t="n">
        <v>2</v>
      </c>
      <c r="H67" s="6" t="n">
        <v>18900</v>
      </c>
      <c r="I67" s="7" t="n">
        <f aca="false">G67*H67</f>
        <v>37800</v>
      </c>
      <c r="J67" s="4" t="s">
        <v>26</v>
      </c>
      <c r="K67" s="4" t="s">
        <v>66</v>
      </c>
    </row>
    <row r="68" customFormat="false" ht="15" hidden="false" customHeight="false" outlineLevel="0" collapsed="false">
      <c r="A68" s="2" t="n">
        <v>46157</v>
      </c>
      <c r="B68" s="3" t="s">
        <v>120</v>
      </c>
      <c r="C68" s="3" t="str">
        <f aca="false">MONTH(A68)&amp;"月"</f>
        <v>5月</v>
      </c>
      <c r="D68" s="4" t="s">
        <v>39</v>
      </c>
      <c r="E68" s="4" t="s">
        <v>33</v>
      </c>
      <c r="F68" s="4" t="s">
        <v>52</v>
      </c>
      <c r="G68" s="5" t="n">
        <v>4</v>
      </c>
      <c r="H68" s="6" t="n">
        <v>420</v>
      </c>
      <c r="I68" s="7" t="n">
        <f aca="false">G68*H68</f>
        <v>1680</v>
      </c>
      <c r="J68" s="4" t="s">
        <v>21</v>
      </c>
      <c r="K68" s="4" t="s">
        <v>41</v>
      </c>
    </row>
    <row r="69" customFormat="false" ht="15" hidden="false" customHeight="false" outlineLevel="0" collapsed="false">
      <c r="A69" s="2" t="n">
        <v>46157</v>
      </c>
      <c r="B69" s="3" t="s">
        <v>121</v>
      </c>
      <c r="C69" s="3" t="str">
        <f aca="false">MONTH(A69)&amp;"月"</f>
        <v>5月</v>
      </c>
      <c r="D69" s="4" t="s">
        <v>18</v>
      </c>
      <c r="E69" s="4" t="s">
        <v>36</v>
      </c>
      <c r="F69" s="4" t="s">
        <v>122</v>
      </c>
      <c r="G69" s="5" t="n">
        <v>1</v>
      </c>
      <c r="H69" s="6" t="n">
        <v>2380</v>
      </c>
      <c r="I69" s="7" t="n">
        <f aca="false">G69*H69</f>
        <v>2380</v>
      </c>
      <c r="J69" s="4" t="s">
        <v>26</v>
      </c>
      <c r="K69" s="4" t="s">
        <v>22</v>
      </c>
    </row>
    <row r="70" customFormat="false" ht="15" hidden="false" customHeight="false" outlineLevel="0" collapsed="false">
      <c r="A70" s="2" t="n">
        <v>46157</v>
      </c>
      <c r="B70" s="3" t="s">
        <v>123</v>
      </c>
      <c r="C70" s="3" t="str">
        <f aca="false">MONTH(A70)&amp;"月"</f>
        <v>5月</v>
      </c>
      <c r="D70" s="4" t="s">
        <v>65</v>
      </c>
      <c r="E70" s="4" t="s">
        <v>33</v>
      </c>
      <c r="F70" s="3" t="s">
        <v>70</v>
      </c>
      <c r="G70" s="5" t="n">
        <v>6</v>
      </c>
      <c r="H70" s="6" t="n">
        <v>2480</v>
      </c>
      <c r="I70" s="7" t="n">
        <f aca="false">G70*H70</f>
        <v>14880</v>
      </c>
      <c r="J70" s="4" t="s">
        <v>26</v>
      </c>
      <c r="K70" s="4" t="s">
        <v>66</v>
      </c>
    </row>
    <row r="71" customFormat="false" ht="15" hidden="false" customHeight="false" outlineLevel="0" collapsed="false">
      <c r="A71" s="2" t="n">
        <v>46160</v>
      </c>
      <c r="B71" s="3" t="s">
        <v>124</v>
      </c>
      <c r="C71" s="3" t="str">
        <f aca="false">MONTH(A71)&amp;"月"</f>
        <v>5月</v>
      </c>
      <c r="D71" s="4" t="s">
        <v>29</v>
      </c>
      <c r="E71" s="4" t="s">
        <v>105</v>
      </c>
      <c r="F71" s="4" t="s">
        <v>125</v>
      </c>
      <c r="G71" s="5" t="n">
        <v>3</v>
      </c>
      <c r="H71" s="6" t="n">
        <v>24800</v>
      </c>
      <c r="I71" s="7" t="n">
        <f aca="false">G71*H71</f>
        <v>74400</v>
      </c>
      <c r="J71" s="4" t="s">
        <v>26</v>
      </c>
      <c r="K71" s="4" t="s">
        <v>60</v>
      </c>
    </row>
    <row r="72" customFormat="false" ht="15" hidden="false" customHeight="false" outlineLevel="0" collapsed="false">
      <c r="A72" s="2" t="n">
        <v>46160</v>
      </c>
      <c r="B72" s="3" t="s">
        <v>126</v>
      </c>
      <c r="C72" s="3" t="str">
        <f aca="false">MONTH(A72)&amp;"月"</f>
        <v>5月</v>
      </c>
      <c r="D72" s="4" t="s">
        <v>29</v>
      </c>
      <c r="E72" s="4" t="s">
        <v>36</v>
      </c>
      <c r="F72" s="4" t="s">
        <v>37</v>
      </c>
      <c r="G72" s="5" t="n">
        <v>2</v>
      </c>
      <c r="H72" s="6" t="n">
        <v>18900</v>
      </c>
      <c r="I72" s="7" t="n">
        <f aca="false">G72*H72</f>
        <v>37800</v>
      </c>
      <c r="J72" s="4" t="s">
        <v>21</v>
      </c>
      <c r="K72" s="4" t="s">
        <v>31</v>
      </c>
    </row>
    <row r="73" customFormat="false" ht="15" hidden="false" customHeight="false" outlineLevel="0" collapsed="false">
      <c r="A73" s="2" t="n">
        <v>46160</v>
      </c>
      <c r="B73" s="3" t="s">
        <v>127</v>
      </c>
      <c r="C73" s="3" t="str">
        <f aca="false">MONTH(A73)&amp;"月"</f>
        <v>5月</v>
      </c>
      <c r="D73" s="4" t="s">
        <v>12</v>
      </c>
      <c r="E73" s="4" t="s">
        <v>19</v>
      </c>
      <c r="F73" s="4" t="s">
        <v>82</v>
      </c>
      <c r="G73" s="5" t="n">
        <v>2</v>
      </c>
      <c r="H73" s="6" t="n">
        <v>4680</v>
      </c>
      <c r="I73" s="7" t="n">
        <f aca="false">G73*H73</f>
        <v>9360</v>
      </c>
      <c r="J73" s="4" t="s">
        <v>26</v>
      </c>
      <c r="K73" s="4" t="s">
        <v>16</v>
      </c>
    </row>
    <row r="74" customFormat="false" ht="15" hidden="false" customHeight="false" outlineLevel="0" collapsed="false">
      <c r="A74" s="2" t="n">
        <v>46161</v>
      </c>
      <c r="B74" s="3" t="s">
        <v>128</v>
      </c>
      <c r="C74" s="3" t="str">
        <f aca="false">MONTH(A74)&amp;"月"</f>
        <v>5月</v>
      </c>
      <c r="D74" s="4" t="s">
        <v>29</v>
      </c>
      <c r="E74" s="4" t="s">
        <v>33</v>
      </c>
      <c r="F74" s="4" t="s">
        <v>34</v>
      </c>
      <c r="G74" s="5" t="n">
        <v>5</v>
      </c>
      <c r="H74" s="6" t="n">
        <v>680</v>
      </c>
      <c r="I74" s="7" t="n">
        <f aca="false">G74*H74</f>
        <v>3400</v>
      </c>
      <c r="J74" s="4" t="s">
        <v>26</v>
      </c>
      <c r="K74" s="4" t="s">
        <v>60</v>
      </c>
    </row>
    <row r="75" customFormat="false" ht="15" hidden="false" customHeight="false" outlineLevel="0" collapsed="false">
      <c r="A75" s="2" t="n">
        <v>46162</v>
      </c>
      <c r="B75" s="3" t="s">
        <v>129</v>
      </c>
      <c r="C75" s="3" t="str">
        <f aca="false">MONTH(A75)&amp;"月"</f>
        <v>5月</v>
      </c>
      <c r="D75" s="4" t="s">
        <v>43</v>
      </c>
      <c r="E75" s="4" t="s">
        <v>36</v>
      </c>
      <c r="F75" s="4" t="s">
        <v>57</v>
      </c>
      <c r="G75" s="5" t="n">
        <v>3</v>
      </c>
      <c r="H75" s="6" t="n">
        <v>7480</v>
      </c>
      <c r="I75" s="7" t="n">
        <f aca="false">G75*H75</f>
        <v>22440</v>
      </c>
      <c r="J75" s="4" t="s">
        <v>21</v>
      </c>
      <c r="K75" s="4" t="s">
        <v>44</v>
      </c>
    </row>
    <row r="76" customFormat="false" ht="15" hidden="false" customHeight="false" outlineLevel="0" collapsed="false">
      <c r="A76" s="2" t="n">
        <v>46163</v>
      </c>
      <c r="B76" s="3" t="s">
        <v>130</v>
      </c>
      <c r="C76" s="3" t="str">
        <f aca="false">MONTH(A76)&amp;"月"</f>
        <v>5月</v>
      </c>
      <c r="D76" s="4" t="s">
        <v>65</v>
      </c>
      <c r="E76" s="4" t="s">
        <v>33</v>
      </c>
      <c r="F76" s="4" t="s">
        <v>59</v>
      </c>
      <c r="G76" s="5" t="n">
        <v>2</v>
      </c>
      <c r="H76" s="6" t="n">
        <v>1980</v>
      </c>
      <c r="I76" s="7" t="n">
        <f aca="false">G76*H76</f>
        <v>3960</v>
      </c>
      <c r="J76" s="4" t="s">
        <v>26</v>
      </c>
      <c r="K76" s="4" t="s">
        <v>66</v>
      </c>
    </row>
    <row r="77" customFormat="false" ht="15" hidden="false" customHeight="false" outlineLevel="0" collapsed="false">
      <c r="A77" s="2" t="n">
        <v>46163</v>
      </c>
      <c r="B77" s="3" t="s">
        <v>131</v>
      </c>
      <c r="C77" s="3" t="str">
        <f aca="false">MONTH(A77)&amp;"月"</f>
        <v>5月</v>
      </c>
      <c r="D77" s="4" t="s">
        <v>12</v>
      </c>
      <c r="E77" s="4" t="s">
        <v>19</v>
      </c>
      <c r="F77" s="4" t="s">
        <v>82</v>
      </c>
      <c r="G77" s="5" t="n">
        <v>6</v>
      </c>
      <c r="H77" s="6" t="n">
        <v>4680</v>
      </c>
      <c r="I77" s="7" t="n">
        <f aca="false">G77*H77</f>
        <v>28080</v>
      </c>
      <c r="J77" s="4" t="s">
        <v>21</v>
      </c>
      <c r="K77" s="4" t="s">
        <v>16</v>
      </c>
    </row>
    <row r="78" customFormat="false" ht="15" hidden="false" customHeight="false" outlineLevel="0" collapsed="false">
      <c r="A78" s="2" t="n">
        <v>46163</v>
      </c>
      <c r="B78" s="3" t="s">
        <v>132</v>
      </c>
      <c r="C78" s="3" t="str">
        <f aca="false">MONTH(A78)&amp;"月"</f>
        <v>5月</v>
      </c>
      <c r="D78" s="4" t="s">
        <v>12</v>
      </c>
      <c r="E78" s="4" t="s">
        <v>33</v>
      </c>
      <c r="F78" s="4" t="s">
        <v>52</v>
      </c>
      <c r="G78" s="5" t="n">
        <v>4</v>
      </c>
      <c r="H78" s="6" t="n">
        <v>420</v>
      </c>
      <c r="I78" s="7" t="n">
        <f aca="false">G78*H78</f>
        <v>1680</v>
      </c>
      <c r="J78" s="4" t="s">
        <v>26</v>
      </c>
      <c r="K78" s="4" t="s">
        <v>16</v>
      </c>
    </row>
    <row r="79" customFormat="false" ht="15" hidden="false" customHeight="false" outlineLevel="0" collapsed="false">
      <c r="A79" s="2" t="n">
        <v>46164</v>
      </c>
      <c r="B79" s="3" t="s">
        <v>133</v>
      </c>
      <c r="C79" s="3" t="str">
        <f aca="false">MONTH(A79)&amp;"月"</f>
        <v>5月</v>
      </c>
      <c r="D79" s="4" t="s">
        <v>29</v>
      </c>
      <c r="E79" s="4" t="s">
        <v>33</v>
      </c>
      <c r="F79" s="4" t="s">
        <v>49</v>
      </c>
      <c r="G79" s="5" t="n">
        <v>2</v>
      </c>
      <c r="H79" s="6" t="n">
        <v>1650</v>
      </c>
      <c r="I79" s="7" t="n">
        <f aca="false">G79*H79</f>
        <v>3300</v>
      </c>
      <c r="J79" s="4" t="s">
        <v>21</v>
      </c>
      <c r="K79" s="4" t="s">
        <v>115</v>
      </c>
    </row>
    <row r="80" customFormat="false" ht="15" hidden="false" customHeight="false" outlineLevel="0" collapsed="false">
      <c r="A80" s="2" t="n">
        <v>46167</v>
      </c>
      <c r="B80" s="3" t="s">
        <v>134</v>
      </c>
      <c r="C80" s="3" t="str">
        <f aca="false">MONTH(A80)&amp;"月"</f>
        <v>5月</v>
      </c>
      <c r="D80" s="4" t="s">
        <v>29</v>
      </c>
      <c r="E80" s="4" t="s">
        <v>33</v>
      </c>
      <c r="F80" s="4" t="s">
        <v>34</v>
      </c>
      <c r="G80" s="5" t="n">
        <v>10</v>
      </c>
      <c r="H80" s="6" t="n">
        <v>680</v>
      </c>
      <c r="I80" s="7" t="n">
        <f aca="false">G80*H80</f>
        <v>6800</v>
      </c>
      <c r="J80" s="4" t="s">
        <v>26</v>
      </c>
      <c r="K80" s="4" t="s">
        <v>115</v>
      </c>
    </row>
    <row r="81" customFormat="false" ht="15" hidden="false" customHeight="false" outlineLevel="0" collapsed="false">
      <c r="A81" s="2" t="n">
        <v>46168</v>
      </c>
      <c r="B81" s="3" t="s">
        <v>135</v>
      </c>
      <c r="C81" s="3" t="str">
        <f aca="false">MONTH(A81)&amp;"月"</f>
        <v>5月</v>
      </c>
      <c r="D81" s="4" t="s">
        <v>24</v>
      </c>
      <c r="E81" s="4" t="s">
        <v>19</v>
      </c>
      <c r="F81" s="4" t="s">
        <v>82</v>
      </c>
      <c r="G81" s="5" t="n">
        <v>2</v>
      </c>
      <c r="H81" s="6" t="n">
        <v>4680</v>
      </c>
      <c r="I81" s="7" t="n">
        <f aca="false">G81*H81</f>
        <v>9360</v>
      </c>
      <c r="J81" s="4" t="s">
        <v>26</v>
      </c>
      <c r="K81" s="4" t="s">
        <v>27</v>
      </c>
    </row>
    <row r="82" customFormat="false" ht="15" hidden="false" customHeight="false" outlineLevel="0" collapsed="false">
      <c r="A82" s="2" t="n">
        <v>46168</v>
      </c>
      <c r="B82" s="3" t="s">
        <v>136</v>
      </c>
      <c r="C82" s="3" t="str">
        <f aca="false">MONTH(A82)&amp;"月"</f>
        <v>5月</v>
      </c>
      <c r="D82" s="4" t="s">
        <v>39</v>
      </c>
      <c r="E82" s="3" t="s">
        <v>13</v>
      </c>
      <c r="F82" s="3" t="s">
        <v>137</v>
      </c>
      <c r="G82" s="5" t="n">
        <v>1</v>
      </c>
      <c r="H82" s="6" t="n">
        <v>32800</v>
      </c>
      <c r="I82" s="7" t="n">
        <f aca="false">G82*H82</f>
        <v>32800</v>
      </c>
      <c r="J82" s="4" t="s">
        <v>15</v>
      </c>
      <c r="K82" s="4" t="s">
        <v>41</v>
      </c>
    </row>
    <row r="83" customFormat="false" ht="15" hidden="false" customHeight="false" outlineLevel="0" collapsed="false">
      <c r="A83" s="2" t="n">
        <v>46170</v>
      </c>
      <c r="B83" s="3" t="s">
        <v>138</v>
      </c>
      <c r="C83" s="3" t="str">
        <f aca="false">MONTH(A83)&amp;"月"</f>
        <v>5月</v>
      </c>
      <c r="D83" s="4" t="s">
        <v>39</v>
      </c>
      <c r="E83" s="4" t="s">
        <v>19</v>
      </c>
      <c r="F83" s="4" t="s">
        <v>139</v>
      </c>
      <c r="G83" s="5" t="n">
        <v>1</v>
      </c>
      <c r="H83" s="6" t="n">
        <v>3280</v>
      </c>
      <c r="I83" s="7" t="n">
        <f aca="false">G83*H83</f>
        <v>3280</v>
      </c>
      <c r="J83" s="4" t="s">
        <v>21</v>
      </c>
      <c r="K83" s="4" t="s">
        <v>41</v>
      </c>
    </row>
    <row r="84" customFormat="false" ht="15" hidden="false" customHeight="false" outlineLevel="0" collapsed="false">
      <c r="A84" s="2" t="n">
        <v>46170</v>
      </c>
      <c r="B84" s="3" t="s">
        <v>140</v>
      </c>
      <c r="C84" s="3" t="str">
        <f aca="false">MONTH(A84)&amp;"月"</f>
        <v>5月</v>
      </c>
      <c r="D84" s="4" t="s">
        <v>18</v>
      </c>
      <c r="E84" s="3" t="s">
        <v>13</v>
      </c>
      <c r="F84" s="3" t="s">
        <v>40</v>
      </c>
      <c r="G84" s="5" t="n">
        <v>3</v>
      </c>
      <c r="H84" s="6" t="n">
        <v>6480</v>
      </c>
      <c r="I84" s="7" t="n">
        <f aca="false">G84*H84</f>
        <v>19440</v>
      </c>
      <c r="J84" s="4" t="s">
        <v>21</v>
      </c>
      <c r="K84" s="4" t="s">
        <v>22</v>
      </c>
    </row>
    <row r="85" customFormat="false" ht="15" hidden="false" customHeight="false" outlineLevel="0" collapsed="false">
      <c r="A85" s="2" t="n">
        <v>46171</v>
      </c>
      <c r="B85" s="3" t="s">
        <v>141</v>
      </c>
      <c r="C85" s="3" t="str">
        <f aca="false">MONTH(A85)&amp;"月"</f>
        <v>5月</v>
      </c>
      <c r="D85" s="4" t="s">
        <v>39</v>
      </c>
      <c r="E85" s="4" t="s">
        <v>105</v>
      </c>
      <c r="F85" s="4" t="s">
        <v>106</v>
      </c>
      <c r="G85" s="5" t="n">
        <v>1</v>
      </c>
      <c r="H85" s="6" t="n">
        <v>9800</v>
      </c>
      <c r="I85" s="7" t="n">
        <f aca="false">G85*H85</f>
        <v>9800</v>
      </c>
      <c r="J85" s="4" t="s">
        <v>26</v>
      </c>
      <c r="K85" s="4" t="s">
        <v>41</v>
      </c>
    </row>
    <row r="86" customFormat="false" ht="15" hidden="false" customHeight="false" outlineLevel="0" collapsed="false">
      <c r="A86" s="2" t="n">
        <v>46171</v>
      </c>
      <c r="B86" s="3" t="s">
        <v>142</v>
      </c>
      <c r="C86" s="3" t="str">
        <f aca="false">MONTH(A86)&amp;"月"</f>
        <v>5月</v>
      </c>
      <c r="D86" s="4" t="s">
        <v>18</v>
      </c>
      <c r="E86" s="3" t="s">
        <v>13</v>
      </c>
      <c r="F86" s="3" t="s">
        <v>137</v>
      </c>
      <c r="G86" s="5" t="n">
        <v>3</v>
      </c>
      <c r="H86" s="6" t="n">
        <v>32800</v>
      </c>
      <c r="I86" s="7" t="n">
        <f aca="false">G86*H86</f>
        <v>98400</v>
      </c>
      <c r="J86" s="4" t="s">
        <v>26</v>
      </c>
      <c r="K86" s="4" t="s">
        <v>22</v>
      </c>
    </row>
    <row r="87" customFormat="false" ht="15" hidden="false" customHeight="false" outlineLevel="0" collapsed="false">
      <c r="A87" s="2" t="n">
        <v>46174</v>
      </c>
      <c r="B87" s="3" t="s">
        <v>143</v>
      </c>
      <c r="C87" s="3" t="str">
        <f aca="false">MONTH(A87)&amp;"月"</f>
        <v>6月</v>
      </c>
      <c r="D87" s="4" t="s">
        <v>39</v>
      </c>
      <c r="E87" s="4" t="s">
        <v>33</v>
      </c>
      <c r="F87" s="4" t="s">
        <v>47</v>
      </c>
      <c r="G87" s="5" t="n">
        <v>10</v>
      </c>
      <c r="H87" s="6" t="n">
        <v>1320</v>
      </c>
      <c r="I87" s="7" t="n">
        <f aca="false">G87*H87</f>
        <v>13200</v>
      </c>
      <c r="J87" s="4" t="s">
        <v>26</v>
      </c>
      <c r="K87" s="4" t="s">
        <v>41</v>
      </c>
    </row>
    <row r="88" customFormat="false" ht="15" hidden="false" customHeight="false" outlineLevel="0" collapsed="false">
      <c r="A88" s="2" t="n">
        <v>46174</v>
      </c>
      <c r="B88" s="3" t="s">
        <v>144</v>
      </c>
      <c r="C88" s="3" t="str">
        <f aca="false">MONTH(A88)&amp;"月"</f>
        <v>6月</v>
      </c>
      <c r="D88" s="4" t="s">
        <v>12</v>
      </c>
      <c r="E88" s="4" t="s">
        <v>19</v>
      </c>
      <c r="F88" s="4" t="s">
        <v>20</v>
      </c>
      <c r="G88" s="5" t="n">
        <v>3</v>
      </c>
      <c r="H88" s="6" t="n">
        <v>3150</v>
      </c>
      <c r="I88" s="7" t="n">
        <f aca="false">G88*H88</f>
        <v>9450</v>
      </c>
      <c r="J88" s="4" t="s">
        <v>21</v>
      </c>
      <c r="K88" s="4" t="s">
        <v>16</v>
      </c>
    </row>
    <row r="89" customFormat="false" ht="15" hidden="false" customHeight="false" outlineLevel="0" collapsed="false">
      <c r="A89" s="2" t="n">
        <v>46175</v>
      </c>
      <c r="B89" s="3" t="s">
        <v>145</v>
      </c>
      <c r="C89" s="3" t="str">
        <f aca="false">MONTH(A89)&amp;"月"</f>
        <v>6月</v>
      </c>
      <c r="D89" s="4" t="s">
        <v>29</v>
      </c>
      <c r="E89" s="4" t="s">
        <v>33</v>
      </c>
      <c r="F89" s="4" t="s">
        <v>49</v>
      </c>
      <c r="G89" s="5" t="n">
        <v>2</v>
      </c>
      <c r="H89" s="6" t="n">
        <v>1650</v>
      </c>
      <c r="I89" s="7" t="n">
        <f aca="false">G89*H89</f>
        <v>3300</v>
      </c>
      <c r="J89" s="4" t="s">
        <v>26</v>
      </c>
      <c r="K89" s="4" t="s">
        <v>115</v>
      </c>
    </row>
    <row r="90" customFormat="false" ht="15" hidden="false" customHeight="false" outlineLevel="0" collapsed="false">
      <c r="A90" s="2" t="n">
        <v>46178</v>
      </c>
      <c r="B90" s="3" t="s">
        <v>146</v>
      </c>
      <c r="C90" s="3" t="str">
        <f aca="false">MONTH(A90)&amp;"月"</f>
        <v>6月</v>
      </c>
      <c r="D90" s="4" t="s">
        <v>18</v>
      </c>
      <c r="E90" s="4" t="s">
        <v>19</v>
      </c>
      <c r="F90" s="4" t="s">
        <v>20</v>
      </c>
      <c r="G90" s="5" t="n">
        <v>3</v>
      </c>
      <c r="H90" s="6" t="n">
        <v>3150</v>
      </c>
      <c r="I90" s="7" t="n">
        <f aca="false">G90*H90</f>
        <v>9450</v>
      </c>
      <c r="J90" s="4" t="s">
        <v>26</v>
      </c>
      <c r="K90" s="4" t="s">
        <v>22</v>
      </c>
    </row>
    <row r="91" customFormat="false" ht="15" hidden="false" customHeight="false" outlineLevel="0" collapsed="false">
      <c r="A91" s="2" t="n">
        <v>46178</v>
      </c>
      <c r="B91" s="3" t="s">
        <v>147</v>
      </c>
      <c r="C91" s="3" t="str">
        <f aca="false">MONTH(A91)&amp;"月"</f>
        <v>6月</v>
      </c>
      <c r="D91" s="4" t="s">
        <v>12</v>
      </c>
      <c r="E91" s="4" t="s">
        <v>33</v>
      </c>
      <c r="F91" s="4" t="s">
        <v>49</v>
      </c>
      <c r="G91" s="5" t="n">
        <v>5</v>
      </c>
      <c r="H91" s="6" t="n">
        <v>1650</v>
      </c>
      <c r="I91" s="7" t="n">
        <f aca="false">G91*H91</f>
        <v>8250</v>
      </c>
      <c r="J91" s="4" t="s">
        <v>15</v>
      </c>
      <c r="K91" s="4" t="s">
        <v>16</v>
      </c>
    </row>
    <row r="92" customFormat="false" ht="15" hidden="false" customHeight="false" outlineLevel="0" collapsed="false">
      <c r="A92" s="2" t="n">
        <v>46181</v>
      </c>
      <c r="B92" s="3" t="s">
        <v>148</v>
      </c>
      <c r="C92" s="3" t="str">
        <f aca="false">MONTH(A92)&amp;"月"</f>
        <v>6月</v>
      </c>
      <c r="D92" s="4" t="s">
        <v>39</v>
      </c>
      <c r="E92" s="4" t="s">
        <v>33</v>
      </c>
      <c r="F92" s="3" t="s">
        <v>70</v>
      </c>
      <c r="G92" s="5" t="n">
        <v>6</v>
      </c>
      <c r="H92" s="6" t="n">
        <v>2480</v>
      </c>
      <c r="I92" s="7" t="n">
        <f aca="false">G92*H92</f>
        <v>14880</v>
      </c>
      <c r="J92" s="4" t="s">
        <v>26</v>
      </c>
      <c r="K92" s="4" t="s">
        <v>41</v>
      </c>
    </row>
    <row r="93" customFormat="false" ht="15" hidden="false" customHeight="false" outlineLevel="0" collapsed="false">
      <c r="A93" s="2" t="n">
        <v>46181</v>
      </c>
      <c r="B93" s="3" t="s">
        <v>149</v>
      </c>
      <c r="C93" s="3" t="str">
        <f aca="false">MONTH(A93)&amp;"月"</f>
        <v>6月</v>
      </c>
      <c r="D93" s="4" t="s">
        <v>43</v>
      </c>
      <c r="E93" s="4" t="s">
        <v>33</v>
      </c>
      <c r="F93" s="4" t="s">
        <v>52</v>
      </c>
      <c r="G93" s="5" t="n">
        <v>1</v>
      </c>
      <c r="H93" s="6" t="n">
        <v>420</v>
      </c>
      <c r="I93" s="7" t="n">
        <f aca="false">G93*H93</f>
        <v>420</v>
      </c>
      <c r="J93" s="4" t="s">
        <v>15</v>
      </c>
      <c r="K93" s="4" t="s">
        <v>44</v>
      </c>
    </row>
    <row r="94" customFormat="false" ht="15" hidden="false" customHeight="false" outlineLevel="0" collapsed="false">
      <c r="A94" s="2" t="n">
        <v>46182</v>
      </c>
      <c r="B94" s="3" t="s">
        <v>150</v>
      </c>
      <c r="C94" s="3" t="str">
        <f aca="false">MONTH(A94)&amp;"月"</f>
        <v>6月</v>
      </c>
      <c r="D94" s="4" t="s">
        <v>29</v>
      </c>
      <c r="E94" s="4" t="s">
        <v>33</v>
      </c>
      <c r="F94" s="4" t="s">
        <v>59</v>
      </c>
      <c r="G94" s="5" t="n">
        <v>1</v>
      </c>
      <c r="H94" s="6" t="n">
        <v>1980</v>
      </c>
      <c r="I94" s="7" t="n">
        <f aca="false">G94*H94</f>
        <v>1980</v>
      </c>
      <c r="J94" s="4" t="s">
        <v>21</v>
      </c>
      <c r="K94" s="4" t="s">
        <v>60</v>
      </c>
    </row>
    <row r="95" customFormat="false" ht="15" hidden="false" customHeight="false" outlineLevel="0" collapsed="false">
      <c r="A95" s="2" t="n">
        <v>46182</v>
      </c>
      <c r="B95" s="3" t="s">
        <v>151</v>
      </c>
      <c r="C95" s="3" t="str">
        <f aca="false">MONTH(A95)&amp;"月"</f>
        <v>6月</v>
      </c>
      <c r="D95" s="4" t="s">
        <v>29</v>
      </c>
      <c r="E95" s="4" t="s">
        <v>36</v>
      </c>
      <c r="F95" s="4" t="s">
        <v>62</v>
      </c>
      <c r="G95" s="5" t="n">
        <v>1</v>
      </c>
      <c r="H95" s="6" t="n">
        <v>1580</v>
      </c>
      <c r="I95" s="7" t="n">
        <f aca="false">G95*H95</f>
        <v>1580</v>
      </c>
      <c r="J95" s="4" t="s">
        <v>26</v>
      </c>
      <c r="K95" s="4" t="s">
        <v>115</v>
      </c>
    </row>
    <row r="96" customFormat="false" ht="15" hidden="false" customHeight="false" outlineLevel="0" collapsed="false">
      <c r="A96" s="2" t="n">
        <v>46182</v>
      </c>
      <c r="B96" s="3" t="s">
        <v>152</v>
      </c>
      <c r="C96" s="3" t="str">
        <f aca="false">MONTH(A96)&amp;"月"</f>
        <v>6月</v>
      </c>
      <c r="D96" s="4" t="s">
        <v>29</v>
      </c>
      <c r="E96" s="4" t="s">
        <v>33</v>
      </c>
      <c r="F96" s="4" t="s">
        <v>52</v>
      </c>
      <c r="G96" s="5" t="n">
        <v>3</v>
      </c>
      <c r="H96" s="6" t="n">
        <v>420</v>
      </c>
      <c r="I96" s="7" t="n">
        <f aca="false">G96*H96</f>
        <v>1260</v>
      </c>
      <c r="J96" s="4" t="s">
        <v>21</v>
      </c>
      <c r="K96" s="4" t="s">
        <v>60</v>
      </c>
    </row>
    <row r="97" customFormat="false" ht="15" hidden="false" customHeight="false" outlineLevel="0" collapsed="false">
      <c r="A97" s="2" t="n">
        <v>46182</v>
      </c>
      <c r="B97" s="3" t="s">
        <v>153</v>
      </c>
      <c r="C97" s="3" t="str">
        <f aca="false">MONTH(A97)&amp;"月"</f>
        <v>6月</v>
      </c>
      <c r="D97" s="4" t="s">
        <v>29</v>
      </c>
      <c r="E97" s="3" t="s">
        <v>13</v>
      </c>
      <c r="F97" s="4" t="s">
        <v>30</v>
      </c>
      <c r="G97" s="5" t="n">
        <v>5</v>
      </c>
      <c r="H97" s="6" t="n">
        <v>3980</v>
      </c>
      <c r="I97" s="7" t="n">
        <f aca="false">G97*H97</f>
        <v>19900</v>
      </c>
      <c r="J97" s="4" t="s">
        <v>21</v>
      </c>
      <c r="K97" s="4" t="s">
        <v>60</v>
      </c>
    </row>
    <row r="98" customFormat="false" ht="15" hidden="false" customHeight="false" outlineLevel="0" collapsed="false">
      <c r="A98" s="2" t="n">
        <v>46183</v>
      </c>
      <c r="B98" s="3" t="s">
        <v>154</v>
      </c>
      <c r="C98" s="3" t="str">
        <f aca="false">MONTH(A98)&amp;"月"</f>
        <v>6月</v>
      </c>
      <c r="D98" s="4" t="s">
        <v>39</v>
      </c>
      <c r="E98" s="4" t="s">
        <v>36</v>
      </c>
      <c r="F98" s="4" t="s">
        <v>37</v>
      </c>
      <c r="G98" s="5" t="n">
        <v>3</v>
      </c>
      <c r="H98" s="6" t="n">
        <v>18900</v>
      </c>
      <c r="I98" s="7" t="n">
        <f aca="false">G98*H98</f>
        <v>56700</v>
      </c>
      <c r="J98" s="4" t="s">
        <v>15</v>
      </c>
      <c r="K98" s="4" t="s">
        <v>41</v>
      </c>
    </row>
    <row r="99" customFormat="false" ht="15" hidden="false" customHeight="false" outlineLevel="0" collapsed="false">
      <c r="A99" s="2" t="n">
        <v>46183</v>
      </c>
      <c r="B99" s="3" t="s">
        <v>155</v>
      </c>
      <c r="C99" s="3" t="str">
        <f aca="false">MONTH(A99)&amp;"月"</f>
        <v>6月</v>
      </c>
      <c r="D99" s="4" t="s">
        <v>39</v>
      </c>
      <c r="E99" s="4" t="s">
        <v>33</v>
      </c>
      <c r="F99" s="4" t="s">
        <v>34</v>
      </c>
      <c r="G99" s="5" t="n">
        <v>1</v>
      </c>
      <c r="H99" s="6" t="n">
        <v>680</v>
      </c>
      <c r="I99" s="7" t="n">
        <f aca="false">G99*H99</f>
        <v>680</v>
      </c>
      <c r="J99" s="4" t="s">
        <v>26</v>
      </c>
      <c r="K99" s="4" t="s">
        <v>41</v>
      </c>
    </row>
    <row r="100" customFormat="false" ht="15" hidden="false" customHeight="false" outlineLevel="0" collapsed="false">
      <c r="A100" s="2" t="n">
        <v>46184</v>
      </c>
      <c r="B100" s="3" t="s">
        <v>156</v>
      </c>
      <c r="C100" s="3" t="str">
        <f aca="false">MONTH(A100)&amp;"月"</f>
        <v>6月</v>
      </c>
      <c r="D100" s="4" t="s">
        <v>39</v>
      </c>
      <c r="E100" s="4" t="s">
        <v>33</v>
      </c>
      <c r="F100" s="4" t="s">
        <v>59</v>
      </c>
      <c r="G100" s="5" t="n">
        <v>3</v>
      </c>
      <c r="H100" s="6" t="n">
        <v>1980</v>
      </c>
      <c r="I100" s="7" t="n">
        <f aca="false">G100*H100</f>
        <v>5940</v>
      </c>
      <c r="J100" s="4" t="s">
        <v>26</v>
      </c>
      <c r="K100" s="4" t="s">
        <v>41</v>
      </c>
    </row>
    <row r="101" customFormat="false" ht="15" hidden="false" customHeight="false" outlineLevel="0" collapsed="false">
      <c r="A101" s="2" t="n">
        <v>46184</v>
      </c>
      <c r="B101" s="3" t="s">
        <v>157</v>
      </c>
      <c r="C101" s="3" t="str">
        <f aca="false">MONTH(A101)&amp;"月"</f>
        <v>6月</v>
      </c>
      <c r="D101" s="4" t="s">
        <v>29</v>
      </c>
      <c r="E101" s="4" t="s">
        <v>33</v>
      </c>
      <c r="F101" s="4" t="s">
        <v>34</v>
      </c>
      <c r="G101" s="5" t="n">
        <v>2</v>
      </c>
      <c r="H101" s="6" t="n">
        <v>680</v>
      </c>
      <c r="I101" s="7" t="n">
        <f aca="false">G101*H101</f>
        <v>1360</v>
      </c>
      <c r="J101" s="4" t="s">
        <v>21</v>
      </c>
      <c r="K101" s="4" t="s">
        <v>115</v>
      </c>
    </row>
    <row r="102" customFormat="false" ht="15" hidden="false" customHeight="false" outlineLevel="0" collapsed="false">
      <c r="A102" s="2" t="n">
        <v>46184</v>
      </c>
      <c r="B102" s="3" t="s">
        <v>158</v>
      </c>
      <c r="C102" s="3" t="str">
        <f aca="false">MONTH(A102)&amp;"月"</f>
        <v>6月</v>
      </c>
      <c r="D102" s="4" t="s">
        <v>39</v>
      </c>
      <c r="E102" s="4" t="s">
        <v>33</v>
      </c>
      <c r="F102" s="4" t="s">
        <v>34</v>
      </c>
      <c r="G102" s="5" t="n">
        <v>3</v>
      </c>
      <c r="H102" s="6" t="n">
        <v>680</v>
      </c>
      <c r="I102" s="7" t="n">
        <f aca="false">G102*H102</f>
        <v>2040</v>
      </c>
      <c r="J102" s="4" t="s">
        <v>21</v>
      </c>
      <c r="K102" s="4" t="s">
        <v>41</v>
      </c>
    </row>
    <row r="103" customFormat="false" ht="15" hidden="false" customHeight="false" outlineLevel="0" collapsed="false">
      <c r="A103" s="2" t="n">
        <v>46185</v>
      </c>
      <c r="B103" s="3" t="s">
        <v>159</v>
      </c>
      <c r="C103" s="3" t="str">
        <f aca="false">MONTH(A103)&amp;"月"</f>
        <v>6月</v>
      </c>
      <c r="D103" s="4" t="s">
        <v>18</v>
      </c>
      <c r="E103" s="3" t="s">
        <v>13</v>
      </c>
      <c r="F103" s="4" t="s">
        <v>30</v>
      </c>
      <c r="G103" s="5" t="n">
        <v>1</v>
      </c>
      <c r="H103" s="6" t="n">
        <v>3980</v>
      </c>
      <c r="I103" s="7" t="n">
        <f aca="false">G103*H103</f>
        <v>3980</v>
      </c>
      <c r="J103" s="4" t="s">
        <v>21</v>
      </c>
      <c r="K103" s="4" t="s">
        <v>22</v>
      </c>
    </row>
    <row r="104" customFormat="false" ht="15" hidden="false" customHeight="false" outlineLevel="0" collapsed="false">
      <c r="A104" s="2" t="n">
        <v>46189</v>
      </c>
      <c r="B104" s="3" t="s">
        <v>160</v>
      </c>
      <c r="C104" s="3" t="str">
        <f aca="false">MONTH(A104)&amp;"月"</f>
        <v>6月</v>
      </c>
      <c r="D104" s="4" t="s">
        <v>39</v>
      </c>
      <c r="E104" s="4" t="s">
        <v>33</v>
      </c>
      <c r="F104" s="4" t="s">
        <v>52</v>
      </c>
      <c r="G104" s="5" t="n">
        <v>3</v>
      </c>
      <c r="H104" s="6" t="n">
        <v>420</v>
      </c>
      <c r="I104" s="7" t="n">
        <f aca="false">G104*H104</f>
        <v>1260</v>
      </c>
      <c r="J104" s="4" t="s">
        <v>21</v>
      </c>
      <c r="K104" s="4" t="s">
        <v>41</v>
      </c>
    </row>
    <row r="105" customFormat="false" ht="15" hidden="false" customHeight="false" outlineLevel="0" collapsed="false">
      <c r="A105" s="2" t="n">
        <v>46190</v>
      </c>
      <c r="B105" s="3" t="s">
        <v>161</v>
      </c>
      <c r="C105" s="3" t="str">
        <f aca="false">MONTH(A105)&amp;"月"</f>
        <v>6月</v>
      </c>
      <c r="D105" s="4" t="s">
        <v>29</v>
      </c>
      <c r="E105" s="3" t="s">
        <v>13</v>
      </c>
      <c r="F105" s="4" t="s">
        <v>162</v>
      </c>
      <c r="G105" s="5" t="n">
        <v>10</v>
      </c>
      <c r="H105" s="6" t="n">
        <v>2780</v>
      </c>
      <c r="I105" s="7" t="n">
        <f aca="false">G105*H105</f>
        <v>27800</v>
      </c>
      <c r="J105" s="4" t="s">
        <v>21</v>
      </c>
      <c r="K105" s="4" t="s">
        <v>115</v>
      </c>
    </row>
    <row r="106" customFormat="false" ht="15" hidden="false" customHeight="false" outlineLevel="0" collapsed="false">
      <c r="A106" s="2" t="n">
        <v>46191</v>
      </c>
      <c r="B106" s="3" t="s">
        <v>163</v>
      </c>
      <c r="C106" s="3" t="str">
        <f aca="false">MONTH(A106)&amp;"月"</f>
        <v>6月</v>
      </c>
      <c r="D106" s="4" t="s">
        <v>39</v>
      </c>
      <c r="E106" s="4" t="s">
        <v>36</v>
      </c>
      <c r="F106" s="4" t="s">
        <v>122</v>
      </c>
      <c r="G106" s="5" t="n">
        <v>6</v>
      </c>
      <c r="H106" s="6" t="n">
        <v>2380</v>
      </c>
      <c r="I106" s="7" t="n">
        <f aca="false">G106*H106</f>
        <v>14280</v>
      </c>
      <c r="J106" s="4" t="s">
        <v>21</v>
      </c>
      <c r="K106" s="4" t="s">
        <v>41</v>
      </c>
    </row>
    <row r="107" customFormat="false" ht="15" hidden="false" customHeight="false" outlineLevel="0" collapsed="false">
      <c r="A107" s="2" t="n">
        <v>46191</v>
      </c>
      <c r="B107" s="3" t="s">
        <v>164</v>
      </c>
      <c r="C107" s="3" t="str">
        <f aca="false">MONTH(A107)&amp;"月"</f>
        <v>6月</v>
      </c>
      <c r="D107" s="4" t="s">
        <v>29</v>
      </c>
      <c r="E107" s="4" t="s">
        <v>19</v>
      </c>
      <c r="F107" s="4" t="s">
        <v>139</v>
      </c>
      <c r="G107" s="5" t="n">
        <v>10</v>
      </c>
      <c r="H107" s="6" t="n">
        <v>3280</v>
      </c>
      <c r="I107" s="7" t="n">
        <f aca="false">G107*H107</f>
        <v>32800</v>
      </c>
      <c r="J107" s="4" t="s">
        <v>15</v>
      </c>
      <c r="K107" s="4" t="s">
        <v>31</v>
      </c>
    </row>
    <row r="108" customFormat="false" ht="15" hidden="false" customHeight="false" outlineLevel="0" collapsed="false">
      <c r="A108" s="2" t="n">
        <v>46192</v>
      </c>
      <c r="B108" s="3" t="s">
        <v>165</v>
      </c>
      <c r="C108" s="3" t="str">
        <f aca="false">MONTH(A108)&amp;"月"</f>
        <v>6月</v>
      </c>
      <c r="D108" s="4" t="s">
        <v>24</v>
      </c>
      <c r="E108" s="4" t="s">
        <v>105</v>
      </c>
      <c r="F108" s="4" t="s">
        <v>166</v>
      </c>
      <c r="G108" s="5" t="n">
        <v>3</v>
      </c>
      <c r="H108" s="6" t="n">
        <v>38500</v>
      </c>
      <c r="I108" s="7" t="n">
        <f aca="false">G108*H108</f>
        <v>115500</v>
      </c>
      <c r="J108" s="4" t="s">
        <v>26</v>
      </c>
      <c r="K108" s="4" t="s">
        <v>27</v>
      </c>
    </row>
    <row r="109" customFormat="false" ht="15" hidden="false" customHeight="false" outlineLevel="0" collapsed="false">
      <c r="A109" s="2" t="n">
        <v>46195</v>
      </c>
      <c r="B109" s="3" t="s">
        <v>167</v>
      </c>
      <c r="C109" s="3" t="str">
        <f aca="false">MONTH(A109)&amp;"月"</f>
        <v>6月</v>
      </c>
      <c r="D109" s="4" t="s">
        <v>24</v>
      </c>
      <c r="E109" s="4" t="s">
        <v>105</v>
      </c>
      <c r="F109" s="4" t="s">
        <v>106</v>
      </c>
      <c r="G109" s="5" t="n">
        <v>2</v>
      </c>
      <c r="H109" s="6" t="n">
        <v>9800</v>
      </c>
      <c r="I109" s="7" t="n">
        <f aca="false">G109*H109</f>
        <v>19600</v>
      </c>
      <c r="J109" s="4" t="s">
        <v>26</v>
      </c>
      <c r="K109" s="4" t="s">
        <v>27</v>
      </c>
    </row>
    <row r="110" customFormat="false" ht="15" hidden="false" customHeight="false" outlineLevel="0" collapsed="false">
      <c r="A110" s="2" t="n">
        <v>46196</v>
      </c>
      <c r="B110" s="3" t="s">
        <v>168</v>
      </c>
      <c r="C110" s="3" t="str">
        <f aca="false">MONTH(A110)&amp;"月"</f>
        <v>6月</v>
      </c>
      <c r="D110" s="4" t="s">
        <v>39</v>
      </c>
      <c r="E110" s="3" t="s">
        <v>13</v>
      </c>
      <c r="F110" s="3" t="s">
        <v>14</v>
      </c>
      <c r="G110" s="5" t="n">
        <v>2</v>
      </c>
      <c r="H110" s="6" t="n">
        <v>4980</v>
      </c>
      <c r="I110" s="7" t="n">
        <f aca="false">G110*H110</f>
        <v>9960</v>
      </c>
      <c r="J110" s="4" t="s">
        <v>15</v>
      </c>
      <c r="K110" s="4" t="s">
        <v>41</v>
      </c>
    </row>
    <row r="111" customFormat="false" ht="15" hidden="false" customHeight="false" outlineLevel="0" collapsed="false">
      <c r="A111" s="2" t="n">
        <v>46196</v>
      </c>
      <c r="B111" s="3" t="s">
        <v>169</v>
      </c>
      <c r="C111" s="3" t="str">
        <f aca="false">MONTH(A111)&amp;"月"</f>
        <v>6月</v>
      </c>
      <c r="D111" s="4" t="s">
        <v>39</v>
      </c>
      <c r="E111" s="4" t="s">
        <v>33</v>
      </c>
      <c r="F111" s="4" t="s">
        <v>49</v>
      </c>
      <c r="G111" s="5" t="n">
        <v>2</v>
      </c>
      <c r="H111" s="6" t="n">
        <v>1650</v>
      </c>
      <c r="I111" s="7" t="n">
        <f aca="false">G111*H111</f>
        <v>3300</v>
      </c>
      <c r="J111" s="4" t="s">
        <v>21</v>
      </c>
      <c r="K111" s="4" t="s">
        <v>41</v>
      </c>
    </row>
    <row r="112" customFormat="false" ht="15" hidden="false" customHeight="false" outlineLevel="0" collapsed="false">
      <c r="A112" s="2" t="n">
        <v>46196</v>
      </c>
      <c r="B112" s="3" t="s">
        <v>170</v>
      </c>
      <c r="C112" s="3" t="str">
        <f aca="false">MONTH(A112)&amp;"月"</f>
        <v>6月</v>
      </c>
      <c r="D112" s="4" t="s">
        <v>54</v>
      </c>
      <c r="E112" s="4" t="s">
        <v>33</v>
      </c>
      <c r="F112" s="4" t="s">
        <v>59</v>
      </c>
      <c r="G112" s="5" t="n">
        <v>2</v>
      </c>
      <c r="H112" s="6" t="n">
        <v>1980</v>
      </c>
      <c r="I112" s="7" t="n">
        <f aca="false">G112*H112</f>
        <v>3960</v>
      </c>
      <c r="J112" s="4" t="s">
        <v>26</v>
      </c>
      <c r="K112" s="4" t="s">
        <v>55</v>
      </c>
    </row>
    <row r="113" customFormat="false" ht="15" hidden="false" customHeight="false" outlineLevel="0" collapsed="false">
      <c r="A113" s="2" t="n">
        <v>46197</v>
      </c>
      <c r="B113" s="3" t="s">
        <v>171</v>
      </c>
      <c r="C113" s="3" t="str">
        <f aca="false">MONTH(A113)&amp;"月"</f>
        <v>6月</v>
      </c>
      <c r="D113" s="4" t="s">
        <v>39</v>
      </c>
      <c r="E113" s="4" t="s">
        <v>33</v>
      </c>
      <c r="F113" s="4" t="s">
        <v>47</v>
      </c>
      <c r="G113" s="5" t="n">
        <v>3</v>
      </c>
      <c r="H113" s="6" t="n">
        <v>1320</v>
      </c>
      <c r="I113" s="7" t="n">
        <f aca="false">G113*H113</f>
        <v>3960</v>
      </c>
      <c r="J113" s="4" t="s">
        <v>26</v>
      </c>
      <c r="K113" s="4" t="s">
        <v>41</v>
      </c>
    </row>
    <row r="114" customFormat="false" ht="15" hidden="false" customHeight="false" outlineLevel="0" collapsed="false">
      <c r="A114" s="2" t="n">
        <v>46198</v>
      </c>
      <c r="B114" s="3" t="s">
        <v>172</v>
      </c>
      <c r="C114" s="3" t="str">
        <f aca="false">MONTH(A114)&amp;"月"</f>
        <v>6月</v>
      </c>
      <c r="D114" s="4" t="s">
        <v>12</v>
      </c>
      <c r="E114" s="3" t="s">
        <v>13</v>
      </c>
      <c r="F114" s="4" t="s">
        <v>91</v>
      </c>
      <c r="G114" s="5" t="n">
        <v>2</v>
      </c>
      <c r="H114" s="6" t="n">
        <v>5980</v>
      </c>
      <c r="I114" s="7" t="n">
        <f aca="false">G114*H114</f>
        <v>11960</v>
      </c>
      <c r="J114" s="4" t="s">
        <v>21</v>
      </c>
      <c r="K114" s="4" t="s">
        <v>16</v>
      </c>
    </row>
    <row r="115" customFormat="false" ht="15" hidden="false" customHeight="false" outlineLevel="0" collapsed="false">
      <c r="A115" s="2" t="n">
        <v>46198</v>
      </c>
      <c r="B115" s="3" t="s">
        <v>173</v>
      </c>
      <c r="C115" s="3" t="str">
        <f aca="false">MONTH(A115)&amp;"月"</f>
        <v>6月</v>
      </c>
      <c r="D115" s="4" t="s">
        <v>29</v>
      </c>
      <c r="E115" s="4" t="s">
        <v>19</v>
      </c>
      <c r="F115" s="4" t="s">
        <v>139</v>
      </c>
      <c r="G115" s="5" t="n">
        <v>3</v>
      </c>
      <c r="H115" s="6" t="n">
        <v>3280</v>
      </c>
      <c r="I115" s="7" t="n">
        <f aca="false">G115*H115</f>
        <v>9840</v>
      </c>
      <c r="J115" s="4" t="s">
        <v>26</v>
      </c>
      <c r="K115" s="4" t="s">
        <v>31</v>
      </c>
    </row>
    <row r="116" customFormat="false" ht="15" hidden="false" customHeight="false" outlineLevel="0" collapsed="false">
      <c r="A116" s="2" t="n">
        <v>46198</v>
      </c>
      <c r="B116" s="3" t="s">
        <v>174</v>
      </c>
      <c r="C116" s="3" t="str">
        <f aca="false">MONTH(A116)&amp;"月"</f>
        <v>6月</v>
      </c>
      <c r="D116" s="4" t="s">
        <v>12</v>
      </c>
      <c r="E116" s="3" t="s">
        <v>13</v>
      </c>
      <c r="F116" s="4" t="s">
        <v>91</v>
      </c>
      <c r="G116" s="5" t="n">
        <v>5</v>
      </c>
      <c r="H116" s="6" t="n">
        <v>5980</v>
      </c>
      <c r="I116" s="7" t="n">
        <f aca="false">G116*H116</f>
        <v>29900</v>
      </c>
      <c r="J116" s="4" t="s">
        <v>26</v>
      </c>
      <c r="K116" s="4" t="s">
        <v>16</v>
      </c>
    </row>
    <row r="117" customFormat="false" ht="15" hidden="false" customHeight="false" outlineLevel="0" collapsed="false">
      <c r="A117" s="2" t="n">
        <v>46199</v>
      </c>
      <c r="B117" s="3" t="s">
        <v>175</v>
      </c>
      <c r="C117" s="3" t="str">
        <f aca="false">MONTH(A117)&amp;"月"</f>
        <v>6月</v>
      </c>
      <c r="D117" s="4" t="s">
        <v>29</v>
      </c>
      <c r="E117" s="3" t="s">
        <v>13</v>
      </c>
      <c r="F117" s="4" t="s">
        <v>91</v>
      </c>
      <c r="G117" s="5" t="n">
        <v>5</v>
      </c>
      <c r="H117" s="6" t="n">
        <v>5980</v>
      </c>
      <c r="I117" s="7" t="n">
        <f aca="false">G117*H117</f>
        <v>29900</v>
      </c>
      <c r="J117" s="4" t="s">
        <v>21</v>
      </c>
      <c r="K117" s="4" t="s">
        <v>60</v>
      </c>
    </row>
    <row r="118" customFormat="false" ht="15" hidden="false" customHeight="false" outlineLevel="0" collapsed="false">
      <c r="A118" s="2" t="n">
        <v>46199</v>
      </c>
      <c r="B118" s="3" t="s">
        <v>176</v>
      </c>
      <c r="C118" s="3" t="str">
        <f aca="false">MONTH(A118)&amp;"月"</f>
        <v>6月</v>
      </c>
      <c r="D118" s="4" t="s">
        <v>65</v>
      </c>
      <c r="E118" s="4" t="s">
        <v>33</v>
      </c>
      <c r="F118" s="3" t="s">
        <v>70</v>
      </c>
      <c r="G118" s="5" t="n">
        <v>2</v>
      </c>
      <c r="H118" s="6" t="n">
        <v>2480</v>
      </c>
      <c r="I118" s="7" t="n">
        <f aca="false">G118*H118</f>
        <v>4960</v>
      </c>
      <c r="J118" s="4" t="s">
        <v>15</v>
      </c>
      <c r="K118" s="4" t="s">
        <v>66</v>
      </c>
    </row>
    <row r="119" customFormat="false" ht="15" hidden="false" customHeight="false" outlineLevel="0" collapsed="false">
      <c r="A119" s="2" t="n">
        <v>46199</v>
      </c>
      <c r="B119" s="3" t="s">
        <v>177</v>
      </c>
      <c r="C119" s="3" t="str">
        <f aca="false">MONTH(A119)&amp;"月"</f>
        <v>6月</v>
      </c>
      <c r="D119" s="4" t="s">
        <v>18</v>
      </c>
      <c r="E119" s="4" t="s">
        <v>36</v>
      </c>
      <c r="F119" s="4" t="s">
        <v>62</v>
      </c>
      <c r="G119" s="5" t="n">
        <v>2</v>
      </c>
      <c r="H119" s="6" t="n">
        <v>1580</v>
      </c>
      <c r="I119" s="7" t="n">
        <f aca="false">G119*H119</f>
        <v>3160</v>
      </c>
      <c r="J119" s="4" t="s">
        <v>26</v>
      </c>
      <c r="K119" s="4" t="s">
        <v>22</v>
      </c>
    </row>
    <row r="120" customFormat="false" ht="15" hidden="false" customHeight="false" outlineLevel="0" collapsed="false">
      <c r="A120" s="2" t="n">
        <v>46202</v>
      </c>
      <c r="B120" s="3" t="s">
        <v>178</v>
      </c>
      <c r="C120" s="3" t="str">
        <f aca="false">MONTH(A120)&amp;"月"</f>
        <v>6月</v>
      </c>
      <c r="D120" s="4" t="s">
        <v>12</v>
      </c>
      <c r="E120" s="4" t="s">
        <v>33</v>
      </c>
      <c r="F120" s="4" t="s">
        <v>49</v>
      </c>
      <c r="G120" s="5" t="n">
        <v>2</v>
      </c>
      <c r="H120" s="6" t="n">
        <v>1650</v>
      </c>
      <c r="I120" s="7" t="n">
        <f aca="false">G120*H120</f>
        <v>3300</v>
      </c>
      <c r="J120" s="4" t="s">
        <v>15</v>
      </c>
      <c r="K120" s="4" t="s">
        <v>16</v>
      </c>
    </row>
    <row r="121" customFormat="false" ht="15" hidden="false" customHeight="false" outlineLevel="0" collapsed="false">
      <c r="A121" s="2" t="n">
        <v>46202</v>
      </c>
      <c r="B121" s="3" t="s">
        <v>179</v>
      </c>
      <c r="C121" s="3" t="str">
        <f aca="false">MONTH(A121)&amp;"月"</f>
        <v>6月</v>
      </c>
      <c r="D121" s="4" t="s">
        <v>65</v>
      </c>
      <c r="E121" s="3" t="s">
        <v>13</v>
      </c>
      <c r="F121" s="4" t="s">
        <v>91</v>
      </c>
      <c r="G121" s="5" t="n">
        <v>2</v>
      </c>
      <c r="H121" s="6" t="n">
        <v>5980</v>
      </c>
      <c r="I121" s="7" t="n">
        <f aca="false">G121*H121</f>
        <v>11960</v>
      </c>
      <c r="J121" s="4" t="s">
        <v>26</v>
      </c>
      <c r="K121" s="4" t="s">
        <v>66</v>
      </c>
    </row>
    <row r="122" customFormat="false" ht="15" hidden="false" customHeight="false" outlineLevel="0" collapsed="false">
      <c r="A122" s="2" t="n">
        <v>46202</v>
      </c>
      <c r="B122" s="3" t="s">
        <v>180</v>
      </c>
      <c r="C122" s="3" t="str">
        <f aca="false">MONTH(A122)&amp;"月"</f>
        <v>6月</v>
      </c>
      <c r="D122" s="4" t="s">
        <v>54</v>
      </c>
      <c r="E122" s="4" t="s">
        <v>19</v>
      </c>
      <c r="F122" s="4" t="s">
        <v>139</v>
      </c>
      <c r="G122" s="5" t="n">
        <v>4</v>
      </c>
      <c r="H122" s="6" t="n">
        <v>3280</v>
      </c>
      <c r="I122" s="7" t="n">
        <f aca="false">G122*H122</f>
        <v>13120</v>
      </c>
      <c r="J122" s="4" t="s">
        <v>26</v>
      </c>
      <c r="K122" s="4" t="s">
        <v>55</v>
      </c>
    </row>
    <row r="123" customFormat="false" ht="15" hidden="false" customHeight="false" outlineLevel="0" collapsed="false">
      <c r="A123" s="2" t="n">
        <v>46204</v>
      </c>
      <c r="B123" s="3" t="s">
        <v>181</v>
      </c>
      <c r="C123" s="3" t="str">
        <f aca="false">MONTH(A123)&amp;"月"</f>
        <v>7月</v>
      </c>
      <c r="D123" s="4" t="s">
        <v>39</v>
      </c>
      <c r="E123" s="4" t="s">
        <v>33</v>
      </c>
      <c r="F123" s="3" t="s">
        <v>70</v>
      </c>
      <c r="G123" s="5" t="n">
        <v>3</v>
      </c>
      <c r="H123" s="6" t="n">
        <v>2480</v>
      </c>
      <c r="I123" s="7" t="n">
        <f aca="false">G123*H123</f>
        <v>7440</v>
      </c>
      <c r="J123" s="4" t="s">
        <v>15</v>
      </c>
      <c r="K123" s="4" t="s">
        <v>41</v>
      </c>
    </row>
    <row r="124" customFormat="false" ht="15" hidden="false" customHeight="false" outlineLevel="0" collapsed="false">
      <c r="A124" s="2" t="n">
        <v>46205</v>
      </c>
      <c r="B124" s="3" t="s">
        <v>182</v>
      </c>
      <c r="C124" s="3" t="str">
        <f aca="false">MONTH(A124)&amp;"月"</f>
        <v>7月</v>
      </c>
      <c r="D124" s="4" t="s">
        <v>12</v>
      </c>
      <c r="E124" s="4" t="s">
        <v>19</v>
      </c>
      <c r="F124" s="4" t="s">
        <v>20</v>
      </c>
      <c r="G124" s="5" t="n">
        <v>3</v>
      </c>
      <c r="H124" s="6" t="n">
        <v>3150</v>
      </c>
      <c r="I124" s="7" t="n">
        <f aca="false">G124*H124</f>
        <v>9450</v>
      </c>
      <c r="J124" s="4" t="s">
        <v>26</v>
      </c>
      <c r="K124" s="4" t="s">
        <v>16</v>
      </c>
    </row>
    <row r="125" customFormat="false" ht="15" hidden="false" customHeight="false" outlineLevel="0" collapsed="false">
      <c r="A125" s="2" t="n">
        <v>46206</v>
      </c>
      <c r="B125" s="3" t="s">
        <v>183</v>
      </c>
      <c r="C125" s="3" t="str">
        <f aca="false">MONTH(A125)&amp;"月"</f>
        <v>7月</v>
      </c>
      <c r="D125" s="4" t="s">
        <v>43</v>
      </c>
      <c r="E125" s="4" t="s">
        <v>33</v>
      </c>
      <c r="F125" s="4" t="s">
        <v>59</v>
      </c>
      <c r="G125" s="5" t="n">
        <v>2</v>
      </c>
      <c r="H125" s="6" t="n">
        <v>1980</v>
      </c>
      <c r="I125" s="7" t="n">
        <f aca="false">G125*H125</f>
        <v>3960</v>
      </c>
      <c r="J125" s="4" t="s">
        <v>26</v>
      </c>
      <c r="K125" s="4" t="s">
        <v>44</v>
      </c>
    </row>
    <row r="126" customFormat="false" ht="15" hidden="false" customHeight="false" outlineLevel="0" collapsed="false">
      <c r="A126" s="2" t="n">
        <v>46209</v>
      </c>
      <c r="B126" s="3" t="s">
        <v>184</v>
      </c>
      <c r="C126" s="3" t="str">
        <f aca="false">MONTH(A126)&amp;"月"</f>
        <v>7月</v>
      </c>
      <c r="D126" s="4" t="s">
        <v>24</v>
      </c>
      <c r="E126" s="4" t="s">
        <v>33</v>
      </c>
      <c r="F126" s="4" t="s">
        <v>47</v>
      </c>
      <c r="G126" s="5" t="n">
        <v>5</v>
      </c>
      <c r="H126" s="6" t="n">
        <v>1320</v>
      </c>
      <c r="I126" s="7" t="n">
        <f aca="false">G126*H126</f>
        <v>6600</v>
      </c>
      <c r="J126" s="4" t="s">
        <v>21</v>
      </c>
      <c r="K126" s="4" t="s">
        <v>27</v>
      </c>
    </row>
    <row r="127" customFormat="false" ht="15" hidden="false" customHeight="false" outlineLevel="0" collapsed="false">
      <c r="A127" s="2" t="n">
        <v>46209</v>
      </c>
      <c r="B127" s="3" t="s">
        <v>185</v>
      </c>
      <c r="C127" s="3" t="str">
        <f aca="false">MONTH(A127)&amp;"月"</f>
        <v>7月</v>
      </c>
      <c r="D127" s="4" t="s">
        <v>54</v>
      </c>
      <c r="E127" s="4" t="s">
        <v>33</v>
      </c>
      <c r="F127" s="4" t="s">
        <v>49</v>
      </c>
      <c r="G127" s="5" t="n">
        <v>10</v>
      </c>
      <c r="H127" s="6" t="n">
        <v>1650</v>
      </c>
      <c r="I127" s="7" t="n">
        <f aca="false">G127*H127</f>
        <v>16500</v>
      </c>
      <c r="J127" s="4" t="s">
        <v>15</v>
      </c>
      <c r="K127" s="4" t="s">
        <v>55</v>
      </c>
    </row>
    <row r="128" customFormat="false" ht="15" hidden="false" customHeight="false" outlineLevel="0" collapsed="false">
      <c r="A128" s="2" t="n">
        <v>46210</v>
      </c>
      <c r="B128" s="3" t="s">
        <v>186</v>
      </c>
      <c r="C128" s="3" t="str">
        <f aca="false">MONTH(A128)&amp;"月"</f>
        <v>7月</v>
      </c>
      <c r="D128" s="4" t="s">
        <v>39</v>
      </c>
      <c r="E128" s="3" t="s">
        <v>13</v>
      </c>
      <c r="F128" s="4" t="s">
        <v>91</v>
      </c>
      <c r="G128" s="5" t="n">
        <v>1</v>
      </c>
      <c r="H128" s="6" t="n">
        <v>5980</v>
      </c>
      <c r="I128" s="7" t="n">
        <f aca="false">G128*H128</f>
        <v>5980</v>
      </c>
      <c r="J128" s="4" t="s">
        <v>26</v>
      </c>
      <c r="K128" s="4" t="s">
        <v>41</v>
      </c>
    </row>
    <row r="129" customFormat="false" ht="15" hidden="false" customHeight="false" outlineLevel="0" collapsed="false">
      <c r="A129" s="2" t="n">
        <v>46210</v>
      </c>
      <c r="B129" s="3" t="s">
        <v>187</v>
      </c>
      <c r="C129" s="3" t="str">
        <f aca="false">MONTH(A129)&amp;"月"</f>
        <v>7月</v>
      </c>
      <c r="D129" s="4" t="s">
        <v>39</v>
      </c>
      <c r="E129" s="4" t="s">
        <v>105</v>
      </c>
      <c r="F129" s="4" t="s">
        <v>188</v>
      </c>
      <c r="G129" s="5" t="n">
        <v>1</v>
      </c>
      <c r="H129" s="6" t="n">
        <v>15800</v>
      </c>
      <c r="I129" s="7" t="n">
        <f aca="false">G129*H129</f>
        <v>15800</v>
      </c>
      <c r="J129" s="4" t="s">
        <v>26</v>
      </c>
      <c r="K129" s="4" t="s">
        <v>41</v>
      </c>
    </row>
    <row r="130" customFormat="false" ht="15" hidden="false" customHeight="false" outlineLevel="0" collapsed="false">
      <c r="A130" s="2" t="n">
        <v>46210</v>
      </c>
      <c r="B130" s="3" t="s">
        <v>189</v>
      </c>
      <c r="C130" s="3" t="str">
        <f aca="false">MONTH(A130)&amp;"月"</f>
        <v>7月</v>
      </c>
      <c r="D130" s="4" t="s">
        <v>39</v>
      </c>
      <c r="E130" s="4" t="s">
        <v>36</v>
      </c>
      <c r="F130" s="4" t="s">
        <v>122</v>
      </c>
      <c r="G130" s="5" t="n">
        <v>1</v>
      </c>
      <c r="H130" s="6" t="n">
        <v>2380</v>
      </c>
      <c r="I130" s="7" t="n">
        <f aca="false">G130*H130</f>
        <v>2380</v>
      </c>
      <c r="J130" s="4" t="s">
        <v>15</v>
      </c>
      <c r="K130" s="4" t="s">
        <v>41</v>
      </c>
    </row>
    <row r="131" customFormat="false" ht="15" hidden="false" customHeight="false" outlineLevel="0" collapsed="false">
      <c r="A131" s="2" t="n">
        <v>46210</v>
      </c>
      <c r="B131" s="3" t="s">
        <v>190</v>
      </c>
      <c r="C131" s="3" t="str">
        <f aca="false">MONTH(A131)&amp;"月"</f>
        <v>7月</v>
      </c>
      <c r="D131" s="4" t="s">
        <v>24</v>
      </c>
      <c r="E131" s="3" t="s">
        <v>13</v>
      </c>
      <c r="F131" s="3" t="s">
        <v>14</v>
      </c>
      <c r="G131" s="5" t="n">
        <v>4</v>
      </c>
      <c r="H131" s="6" t="n">
        <v>4980</v>
      </c>
      <c r="I131" s="7" t="n">
        <f aca="false">G131*H131</f>
        <v>19920</v>
      </c>
      <c r="J131" s="4" t="s">
        <v>21</v>
      </c>
      <c r="K131" s="4" t="s">
        <v>27</v>
      </c>
    </row>
    <row r="132" customFormat="false" ht="15" hidden="false" customHeight="false" outlineLevel="0" collapsed="false">
      <c r="A132" s="2" t="n">
        <v>46212</v>
      </c>
      <c r="B132" s="3" t="s">
        <v>191</v>
      </c>
      <c r="C132" s="3" t="str">
        <f aca="false">MONTH(A132)&amp;"月"</f>
        <v>7月</v>
      </c>
      <c r="D132" s="4" t="s">
        <v>29</v>
      </c>
      <c r="E132" s="4" t="s">
        <v>105</v>
      </c>
      <c r="F132" s="4" t="s">
        <v>106</v>
      </c>
      <c r="G132" s="5" t="n">
        <v>2</v>
      </c>
      <c r="H132" s="6" t="n">
        <v>9800</v>
      </c>
      <c r="I132" s="7" t="n">
        <f aca="false">G132*H132</f>
        <v>19600</v>
      </c>
      <c r="J132" s="4" t="s">
        <v>26</v>
      </c>
      <c r="K132" s="4" t="s">
        <v>115</v>
      </c>
    </row>
    <row r="133" customFormat="false" ht="15" hidden="false" customHeight="false" outlineLevel="0" collapsed="false">
      <c r="A133" s="2" t="n">
        <v>46212</v>
      </c>
      <c r="B133" s="3" t="s">
        <v>192</v>
      </c>
      <c r="C133" s="3" t="str">
        <f aca="false">MONTH(A133)&amp;"月"</f>
        <v>7月</v>
      </c>
      <c r="D133" s="4" t="s">
        <v>12</v>
      </c>
      <c r="E133" s="4" t="s">
        <v>33</v>
      </c>
      <c r="F133" s="4" t="s">
        <v>52</v>
      </c>
      <c r="G133" s="5" t="n">
        <v>3</v>
      </c>
      <c r="H133" s="6" t="n">
        <v>420</v>
      </c>
      <c r="I133" s="7" t="n">
        <f aca="false">G133*H133</f>
        <v>1260</v>
      </c>
      <c r="J133" s="4" t="s">
        <v>26</v>
      </c>
      <c r="K133" s="4" t="s">
        <v>16</v>
      </c>
    </row>
    <row r="134" customFormat="false" ht="15" hidden="false" customHeight="false" outlineLevel="0" collapsed="false">
      <c r="A134" s="2" t="n">
        <v>46212</v>
      </c>
      <c r="B134" s="3" t="s">
        <v>193</v>
      </c>
      <c r="C134" s="3" t="str">
        <f aca="false">MONTH(A134)&amp;"月"</f>
        <v>7月</v>
      </c>
      <c r="D134" s="4" t="s">
        <v>29</v>
      </c>
      <c r="E134" s="4" t="s">
        <v>36</v>
      </c>
      <c r="F134" s="4" t="s">
        <v>62</v>
      </c>
      <c r="G134" s="5" t="n">
        <v>3</v>
      </c>
      <c r="H134" s="6" t="n">
        <v>1580</v>
      </c>
      <c r="I134" s="7" t="n">
        <f aca="false">G134*H134</f>
        <v>4740</v>
      </c>
      <c r="J134" s="4" t="s">
        <v>26</v>
      </c>
      <c r="K134" s="4" t="s">
        <v>60</v>
      </c>
    </row>
    <row r="135" customFormat="false" ht="15" hidden="false" customHeight="false" outlineLevel="0" collapsed="false">
      <c r="A135" s="2" t="n">
        <v>46213</v>
      </c>
      <c r="B135" s="3" t="s">
        <v>194</v>
      </c>
      <c r="C135" s="3" t="str">
        <f aca="false">MONTH(A135)&amp;"月"</f>
        <v>7月</v>
      </c>
      <c r="D135" s="4" t="s">
        <v>18</v>
      </c>
      <c r="E135" s="4" t="s">
        <v>33</v>
      </c>
      <c r="F135" s="4" t="s">
        <v>34</v>
      </c>
      <c r="G135" s="5" t="n">
        <v>1</v>
      </c>
      <c r="H135" s="6" t="n">
        <v>680</v>
      </c>
      <c r="I135" s="7" t="n">
        <f aca="false">G135*H135</f>
        <v>680</v>
      </c>
      <c r="J135" s="4" t="s">
        <v>15</v>
      </c>
      <c r="K135" s="4" t="s">
        <v>22</v>
      </c>
    </row>
    <row r="136" customFormat="false" ht="15" hidden="false" customHeight="false" outlineLevel="0" collapsed="false">
      <c r="A136" s="2" t="n">
        <v>46216</v>
      </c>
      <c r="B136" s="3" t="s">
        <v>195</v>
      </c>
      <c r="C136" s="3" t="str">
        <f aca="false">MONTH(A136)&amp;"月"</f>
        <v>7月</v>
      </c>
      <c r="D136" s="4" t="s">
        <v>29</v>
      </c>
      <c r="E136" s="4" t="s">
        <v>19</v>
      </c>
      <c r="F136" s="4" t="s">
        <v>139</v>
      </c>
      <c r="G136" s="5" t="n">
        <v>4</v>
      </c>
      <c r="H136" s="6" t="n">
        <v>3280</v>
      </c>
      <c r="I136" s="7" t="n">
        <f aca="false">G136*H136</f>
        <v>13120</v>
      </c>
      <c r="J136" s="4" t="s">
        <v>15</v>
      </c>
      <c r="K136" s="4" t="s">
        <v>60</v>
      </c>
    </row>
    <row r="137" customFormat="false" ht="15" hidden="false" customHeight="false" outlineLevel="0" collapsed="false">
      <c r="A137" s="2" t="n">
        <v>46218</v>
      </c>
      <c r="B137" s="3" t="s">
        <v>196</v>
      </c>
      <c r="C137" s="3" t="str">
        <f aca="false">MONTH(A137)&amp;"月"</f>
        <v>7月</v>
      </c>
      <c r="D137" s="4" t="s">
        <v>65</v>
      </c>
      <c r="E137" s="4" t="s">
        <v>36</v>
      </c>
      <c r="F137" s="4" t="s">
        <v>57</v>
      </c>
      <c r="G137" s="5" t="n">
        <v>4</v>
      </c>
      <c r="H137" s="6" t="n">
        <v>7480</v>
      </c>
      <c r="I137" s="7" t="n">
        <f aca="false">G137*H137</f>
        <v>29920</v>
      </c>
      <c r="J137" s="4" t="s">
        <v>26</v>
      </c>
      <c r="K137" s="4" t="s">
        <v>66</v>
      </c>
    </row>
    <row r="138" customFormat="false" ht="15" hidden="false" customHeight="false" outlineLevel="0" collapsed="false">
      <c r="A138" s="2" t="n">
        <v>46218</v>
      </c>
      <c r="B138" s="3" t="s">
        <v>197</v>
      </c>
      <c r="C138" s="3" t="str">
        <f aca="false">MONTH(A138)&amp;"月"</f>
        <v>7月</v>
      </c>
      <c r="D138" s="4" t="s">
        <v>12</v>
      </c>
      <c r="E138" s="4" t="s">
        <v>36</v>
      </c>
      <c r="F138" s="4" t="s">
        <v>37</v>
      </c>
      <c r="G138" s="5" t="n">
        <v>3</v>
      </c>
      <c r="H138" s="6" t="n">
        <v>18900</v>
      </c>
      <c r="I138" s="7" t="n">
        <f aca="false">G138*H138</f>
        <v>56700</v>
      </c>
      <c r="J138" s="4" t="s">
        <v>26</v>
      </c>
      <c r="K138" s="4" t="s">
        <v>16</v>
      </c>
    </row>
    <row r="139" customFormat="false" ht="15" hidden="false" customHeight="false" outlineLevel="0" collapsed="false">
      <c r="A139" s="2" t="n">
        <v>46218</v>
      </c>
      <c r="B139" s="3" t="s">
        <v>198</v>
      </c>
      <c r="C139" s="3" t="str">
        <f aca="false">MONTH(A139)&amp;"月"</f>
        <v>7月</v>
      </c>
      <c r="D139" s="4" t="s">
        <v>65</v>
      </c>
      <c r="E139" s="4" t="s">
        <v>36</v>
      </c>
      <c r="F139" s="4" t="s">
        <v>57</v>
      </c>
      <c r="G139" s="5" t="n">
        <v>2</v>
      </c>
      <c r="H139" s="6" t="n">
        <v>7480</v>
      </c>
      <c r="I139" s="7" t="n">
        <f aca="false">G139*H139</f>
        <v>14960</v>
      </c>
      <c r="J139" s="4" t="s">
        <v>15</v>
      </c>
      <c r="K139" s="4" t="s">
        <v>66</v>
      </c>
    </row>
    <row r="140" customFormat="false" ht="15" hidden="false" customHeight="false" outlineLevel="0" collapsed="false">
      <c r="A140" s="2" t="n">
        <v>46219</v>
      </c>
      <c r="B140" s="3" t="s">
        <v>199</v>
      </c>
      <c r="C140" s="3" t="str">
        <f aca="false">MONTH(A140)&amp;"月"</f>
        <v>7月</v>
      </c>
      <c r="D140" s="4" t="s">
        <v>65</v>
      </c>
      <c r="E140" s="3" t="s">
        <v>13</v>
      </c>
      <c r="F140" s="4" t="s">
        <v>30</v>
      </c>
      <c r="G140" s="5" t="n">
        <v>2</v>
      </c>
      <c r="H140" s="6" t="n">
        <v>3980</v>
      </c>
      <c r="I140" s="7" t="n">
        <f aca="false">G140*H140</f>
        <v>7960</v>
      </c>
      <c r="J140" s="4" t="s">
        <v>26</v>
      </c>
      <c r="K140" s="4" t="s">
        <v>66</v>
      </c>
    </row>
    <row r="141" customFormat="false" ht="15" hidden="false" customHeight="false" outlineLevel="0" collapsed="false">
      <c r="A141" s="2" t="n">
        <v>46220</v>
      </c>
      <c r="B141" s="3" t="s">
        <v>200</v>
      </c>
      <c r="C141" s="3" t="str">
        <f aca="false">MONTH(A141)&amp;"月"</f>
        <v>7月</v>
      </c>
      <c r="D141" s="4" t="s">
        <v>39</v>
      </c>
      <c r="E141" s="4" t="s">
        <v>19</v>
      </c>
      <c r="F141" s="4" t="s">
        <v>20</v>
      </c>
      <c r="G141" s="5" t="n">
        <v>5</v>
      </c>
      <c r="H141" s="6" t="n">
        <v>3150</v>
      </c>
      <c r="I141" s="7" t="n">
        <f aca="false">G141*H141</f>
        <v>15750</v>
      </c>
      <c r="J141" s="4" t="s">
        <v>15</v>
      </c>
      <c r="K141" s="4" t="s">
        <v>41</v>
      </c>
    </row>
    <row r="142" customFormat="false" ht="15" hidden="false" customHeight="false" outlineLevel="0" collapsed="false">
      <c r="A142" s="2" t="n">
        <v>46220</v>
      </c>
      <c r="B142" s="3" t="s">
        <v>201</v>
      </c>
      <c r="C142" s="3" t="str">
        <f aca="false">MONTH(A142)&amp;"月"</f>
        <v>7月</v>
      </c>
      <c r="D142" s="4" t="s">
        <v>43</v>
      </c>
      <c r="E142" s="4" t="s">
        <v>33</v>
      </c>
      <c r="F142" s="4" t="s">
        <v>49</v>
      </c>
      <c r="G142" s="5" t="n">
        <v>6</v>
      </c>
      <c r="H142" s="6" t="n">
        <v>1650</v>
      </c>
      <c r="I142" s="7" t="n">
        <f aca="false">G142*H142</f>
        <v>9900</v>
      </c>
      <c r="J142" s="4" t="s">
        <v>26</v>
      </c>
      <c r="K142" s="4" t="s">
        <v>44</v>
      </c>
    </row>
    <row r="143" customFormat="false" ht="15" hidden="false" customHeight="false" outlineLevel="0" collapsed="false">
      <c r="A143" s="2" t="n">
        <v>46220</v>
      </c>
      <c r="B143" s="3" t="s">
        <v>202</v>
      </c>
      <c r="C143" s="3" t="str">
        <f aca="false">MONTH(A143)&amp;"月"</f>
        <v>7月</v>
      </c>
      <c r="D143" s="4" t="s">
        <v>29</v>
      </c>
      <c r="E143" s="4" t="s">
        <v>19</v>
      </c>
      <c r="F143" s="4" t="s">
        <v>82</v>
      </c>
      <c r="G143" s="5" t="n">
        <v>4</v>
      </c>
      <c r="H143" s="6" t="n">
        <v>4680</v>
      </c>
      <c r="I143" s="7" t="n">
        <f aca="false">G143*H143</f>
        <v>18720</v>
      </c>
      <c r="J143" s="4" t="s">
        <v>15</v>
      </c>
      <c r="K143" s="4" t="s">
        <v>60</v>
      </c>
    </row>
    <row r="144" customFormat="false" ht="15" hidden="false" customHeight="false" outlineLevel="0" collapsed="false">
      <c r="A144" s="2" t="n">
        <v>46223</v>
      </c>
      <c r="B144" s="3" t="s">
        <v>203</v>
      </c>
      <c r="C144" s="3" t="str">
        <f aca="false">MONTH(A144)&amp;"月"</f>
        <v>7月</v>
      </c>
      <c r="D144" s="4" t="s">
        <v>18</v>
      </c>
      <c r="E144" s="3" t="s">
        <v>13</v>
      </c>
      <c r="F144" s="4" t="s">
        <v>91</v>
      </c>
      <c r="G144" s="5" t="n">
        <v>4</v>
      </c>
      <c r="H144" s="6" t="n">
        <v>5980</v>
      </c>
      <c r="I144" s="7" t="n">
        <f aca="false">G144*H144</f>
        <v>23920</v>
      </c>
      <c r="J144" s="4" t="s">
        <v>15</v>
      </c>
      <c r="K144" s="4" t="s">
        <v>22</v>
      </c>
    </row>
    <row r="145" customFormat="false" ht="15" hidden="false" customHeight="false" outlineLevel="0" collapsed="false">
      <c r="A145" s="2" t="n">
        <v>46223</v>
      </c>
      <c r="B145" s="3" t="s">
        <v>204</v>
      </c>
      <c r="C145" s="3" t="str">
        <f aca="false">MONTH(A145)&amp;"月"</f>
        <v>7月</v>
      </c>
      <c r="D145" s="4" t="s">
        <v>29</v>
      </c>
      <c r="E145" s="4" t="s">
        <v>19</v>
      </c>
      <c r="F145" s="4" t="s">
        <v>25</v>
      </c>
      <c r="G145" s="5" t="n">
        <v>6</v>
      </c>
      <c r="H145" s="6" t="n">
        <v>1980</v>
      </c>
      <c r="I145" s="7" t="n">
        <f aca="false">G145*H145</f>
        <v>11880</v>
      </c>
      <c r="J145" s="4" t="s">
        <v>21</v>
      </c>
      <c r="K145" s="4" t="s">
        <v>115</v>
      </c>
    </row>
    <row r="146" customFormat="false" ht="15" hidden="false" customHeight="false" outlineLevel="0" collapsed="false">
      <c r="A146" s="2" t="n">
        <v>46224</v>
      </c>
      <c r="B146" s="3" t="s">
        <v>205</v>
      </c>
      <c r="C146" s="3" t="str">
        <f aca="false">MONTH(A146)&amp;"月"</f>
        <v>7月</v>
      </c>
      <c r="D146" s="4" t="s">
        <v>12</v>
      </c>
      <c r="E146" s="4" t="s">
        <v>33</v>
      </c>
      <c r="F146" s="4" t="s">
        <v>47</v>
      </c>
      <c r="G146" s="5" t="n">
        <v>3</v>
      </c>
      <c r="H146" s="6" t="n">
        <v>1320</v>
      </c>
      <c r="I146" s="7" t="n">
        <f aca="false">G146*H146</f>
        <v>3960</v>
      </c>
      <c r="J146" s="4" t="s">
        <v>26</v>
      </c>
      <c r="K146" s="4" t="s">
        <v>16</v>
      </c>
    </row>
    <row r="147" customFormat="false" ht="15" hidden="false" customHeight="false" outlineLevel="0" collapsed="false">
      <c r="A147" s="2" t="n">
        <v>46225</v>
      </c>
      <c r="B147" s="3" t="s">
        <v>206</v>
      </c>
      <c r="C147" s="3" t="str">
        <f aca="false">MONTH(A147)&amp;"月"</f>
        <v>7月</v>
      </c>
      <c r="D147" s="4" t="s">
        <v>29</v>
      </c>
      <c r="E147" s="4" t="s">
        <v>19</v>
      </c>
      <c r="F147" s="4" t="s">
        <v>139</v>
      </c>
      <c r="G147" s="5" t="n">
        <v>10</v>
      </c>
      <c r="H147" s="6" t="n">
        <v>3280</v>
      </c>
      <c r="I147" s="7" t="n">
        <f aca="false">G147*H147</f>
        <v>32800</v>
      </c>
      <c r="J147" s="4" t="s">
        <v>26</v>
      </c>
      <c r="K147" s="4" t="s">
        <v>60</v>
      </c>
    </row>
    <row r="148" customFormat="false" ht="15" hidden="false" customHeight="false" outlineLevel="0" collapsed="false">
      <c r="A148" s="2" t="n">
        <v>46225</v>
      </c>
      <c r="B148" s="3" t="s">
        <v>207</v>
      </c>
      <c r="C148" s="3" t="str">
        <f aca="false">MONTH(A148)&amp;"月"</f>
        <v>7月</v>
      </c>
      <c r="D148" s="4" t="s">
        <v>54</v>
      </c>
      <c r="E148" s="3" t="s">
        <v>13</v>
      </c>
      <c r="F148" s="3" t="s">
        <v>14</v>
      </c>
      <c r="G148" s="5" t="n">
        <v>3</v>
      </c>
      <c r="H148" s="6" t="n">
        <v>4980</v>
      </c>
      <c r="I148" s="7" t="n">
        <f aca="false">G148*H148</f>
        <v>14940</v>
      </c>
      <c r="J148" s="4" t="s">
        <v>21</v>
      </c>
      <c r="K148" s="4" t="s">
        <v>55</v>
      </c>
    </row>
    <row r="149" customFormat="false" ht="15" hidden="false" customHeight="false" outlineLevel="0" collapsed="false">
      <c r="A149" s="2" t="n">
        <v>46226</v>
      </c>
      <c r="B149" s="3" t="s">
        <v>208</v>
      </c>
      <c r="C149" s="3" t="str">
        <f aca="false">MONTH(A149)&amp;"月"</f>
        <v>7月</v>
      </c>
      <c r="D149" s="4" t="s">
        <v>39</v>
      </c>
      <c r="E149" s="4" t="s">
        <v>36</v>
      </c>
      <c r="F149" s="4" t="s">
        <v>37</v>
      </c>
      <c r="G149" s="5" t="n">
        <v>1</v>
      </c>
      <c r="H149" s="6" t="n">
        <v>18900</v>
      </c>
      <c r="I149" s="7" t="n">
        <f aca="false">G149*H149</f>
        <v>18900</v>
      </c>
      <c r="J149" s="4" t="s">
        <v>21</v>
      </c>
      <c r="K149" s="4" t="s">
        <v>41</v>
      </c>
    </row>
    <row r="150" customFormat="false" ht="15" hidden="false" customHeight="false" outlineLevel="0" collapsed="false">
      <c r="A150" s="2" t="n">
        <v>46226</v>
      </c>
      <c r="B150" s="3" t="s">
        <v>209</v>
      </c>
      <c r="C150" s="3" t="str">
        <f aca="false">MONTH(A150)&amp;"月"</f>
        <v>7月</v>
      </c>
      <c r="D150" s="4" t="s">
        <v>54</v>
      </c>
      <c r="E150" s="4" t="s">
        <v>19</v>
      </c>
      <c r="F150" s="4" t="s">
        <v>139</v>
      </c>
      <c r="G150" s="5" t="n">
        <v>10</v>
      </c>
      <c r="H150" s="6" t="n">
        <v>3280</v>
      </c>
      <c r="I150" s="7" t="n">
        <f aca="false">G150*H150</f>
        <v>32800</v>
      </c>
      <c r="J150" s="4" t="s">
        <v>21</v>
      </c>
      <c r="K150" s="4" t="s">
        <v>55</v>
      </c>
    </row>
    <row r="151" customFormat="false" ht="15" hidden="false" customHeight="false" outlineLevel="0" collapsed="false">
      <c r="A151" s="2" t="n">
        <v>46227</v>
      </c>
      <c r="B151" s="3" t="s">
        <v>210</v>
      </c>
      <c r="C151" s="3" t="str">
        <f aca="false">MONTH(A151)&amp;"月"</f>
        <v>7月</v>
      </c>
      <c r="D151" s="4" t="s">
        <v>43</v>
      </c>
      <c r="E151" s="4" t="s">
        <v>33</v>
      </c>
      <c r="F151" s="3" t="s">
        <v>70</v>
      </c>
      <c r="G151" s="5" t="n">
        <v>3</v>
      </c>
      <c r="H151" s="6" t="n">
        <v>2480</v>
      </c>
      <c r="I151" s="7" t="n">
        <f aca="false">G151*H151</f>
        <v>7440</v>
      </c>
      <c r="J151" s="4" t="s">
        <v>21</v>
      </c>
      <c r="K151" s="4" t="s">
        <v>44</v>
      </c>
    </row>
    <row r="152" customFormat="false" ht="15" hidden="false" customHeight="false" outlineLevel="0" collapsed="false">
      <c r="A152" s="2" t="n">
        <v>46227</v>
      </c>
      <c r="B152" s="3" t="s">
        <v>211</v>
      </c>
      <c r="C152" s="3" t="str">
        <f aca="false">MONTH(A152)&amp;"月"</f>
        <v>7月</v>
      </c>
      <c r="D152" s="4" t="s">
        <v>39</v>
      </c>
      <c r="E152" s="3" t="s">
        <v>13</v>
      </c>
      <c r="F152" s="4" t="s">
        <v>91</v>
      </c>
      <c r="G152" s="5" t="n">
        <v>2</v>
      </c>
      <c r="H152" s="6" t="n">
        <v>5980</v>
      </c>
      <c r="I152" s="7" t="n">
        <f aca="false">G152*H152</f>
        <v>11960</v>
      </c>
      <c r="J152" s="4" t="s">
        <v>26</v>
      </c>
      <c r="K152" s="4" t="s">
        <v>41</v>
      </c>
    </row>
    <row r="153" customFormat="false" ht="15" hidden="false" customHeight="false" outlineLevel="0" collapsed="false">
      <c r="A153" s="2" t="n">
        <v>46227</v>
      </c>
      <c r="B153" s="3" t="s">
        <v>212</v>
      </c>
      <c r="C153" s="3" t="str">
        <f aca="false">MONTH(A153)&amp;"月"</f>
        <v>7月</v>
      </c>
      <c r="D153" s="4" t="s">
        <v>24</v>
      </c>
      <c r="E153" s="4" t="s">
        <v>105</v>
      </c>
      <c r="F153" s="4" t="s">
        <v>106</v>
      </c>
      <c r="G153" s="5" t="n">
        <v>1</v>
      </c>
      <c r="H153" s="6" t="n">
        <v>9800</v>
      </c>
      <c r="I153" s="7" t="n">
        <f aca="false">G153*H153</f>
        <v>9800</v>
      </c>
      <c r="J153" s="4" t="s">
        <v>26</v>
      </c>
      <c r="K153" s="4" t="s">
        <v>27</v>
      </c>
    </row>
    <row r="154" customFormat="false" ht="15" hidden="false" customHeight="false" outlineLevel="0" collapsed="false">
      <c r="A154" s="2" t="n">
        <v>46230</v>
      </c>
      <c r="B154" s="3" t="s">
        <v>213</v>
      </c>
      <c r="C154" s="3" t="str">
        <f aca="false">MONTH(A154)&amp;"月"</f>
        <v>7月</v>
      </c>
      <c r="D154" s="4" t="s">
        <v>29</v>
      </c>
      <c r="E154" s="4" t="s">
        <v>33</v>
      </c>
      <c r="F154" s="4" t="s">
        <v>49</v>
      </c>
      <c r="G154" s="5" t="n">
        <v>3</v>
      </c>
      <c r="H154" s="6" t="n">
        <v>1650</v>
      </c>
      <c r="I154" s="7" t="n">
        <f aca="false">G154*H154</f>
        <v>4950</v>
      </c>
      <c r="J154" s="4" t="s">
        <v>26</v>
      </c>
      <c r="K154" s="4" t="s">
        <v>60</v>
      </c>
    </row>
    <row r="155" customFormat="false" ht="15" hidden="false" customHeight="false" outlineLevel="0" collapsed="false">
      <c r="A155" s="2" t="n">
        <v>46231</v>
      </c>
      <c r="B155" s="3" t="s">
        <v>214</v>
      </c>
      <c r="C155" s="3" t="str">
        <f aca="false">MONTH(A155)&amp;"月"</f>
        <v>7月</v>
      </c>
      <c r="D155" s="4" t="s">
        <v>12</v>
      </c>
      <c r="E155" s="4" t="s">
        <v>33</v>
      </c>
      <c r="F155" s="4" t="s">
        <v>49</v>
      </c>
      <c r="G155" s="5" t="n">
        <v>10</v>
      </c>
      <c r="H155" s="6" t="n">
        <v>1650</v>
      </c>
      <c r="I155" s="7" t="n">
        <f aca="false">G155*H155</f>
        <v>16500</v>
      </c>
      <c r="J155" s="4" t="s">
        <v>26</v>
      </c>
      <c r="K155" s="4" t="s">
        <v>16</v>
      </c>
    </row>
    <row r="156" customFormat="false" ht="15" hidden="false" customHeight="false" outlineLevel="0" collapsed="false">
      <c r="A156" s="2" t="n">
        <v>46232</v>
      </c>
      <c r="B156" s="3" t="s">
        <v>215</v>
      </c>
      <c r="C156" s="3" t="str">
        <f aca="false">MONTH(A156)&amp;"月"</f>
        <v>7月</v>
      </c>
      <c r="D156" s="4" t="s">
        <v>39</v>
      </c>
      <c r="E156" s="4" t="s">
        <v>105</v>
      </c>
      <c r="F156" s="4" t="s">
        <v>166</v>
      </c>
      <c r="G156" s="5" t="n">
        <v>2</v>
      </c>
      <c r="H156" s="6" t="n">
        <v>38500</v>
      </c>
      <c r="I156" s="7" t="n">
        <f aca="false">G156*H156</f>
        <v>77000</v>
      </c>
      <c r="J156" s="4" t="s">
        <v>26</v>
      </c>
      <c r="K156" s="4" t="s">
        <v>41</v>
      </c>
    </row>
    <row r="157" customFormat="false" ht="15" hidden="false" customHeight="false" outlineLevel="0" collapsed="false">
      <c r="A157" s="2" t="n">
        <v>46232</v>
      </c>
      <c r="B157" s="3" t="s">
        <v>216</v>
      </c>
      <c r="C157" s="3" t="str">
        <f aca="false">MONTH(A157)&amp;"月"</f>
        <v>7月</v>
      </c>
      <c r="D157" s="4" t="s">
        <v>54</v>
      </c>
      <c r="E157" s="4" t="s">
        <v>36</v>
      </c>
      <c r="F157" s="4" t="s">
        <v>62</v>
      </c>
      <c r="G157" s="5" t="n">
        <v>1</v>
      </c>
      <c r="H157" s="6" t="n">
        <v>1580</v>
      </c>
      <c r="I157" s="7" t="n">
        <f aca="false">G157*H157</f>
        <v>1580</v>
      </c>
      <c r="J157" s="4" t="s">
        <v>26</v>
      </c>
      <c r="K157" s="4" t="s">
        <v>55</v>
      </c>
    </row>
    <row r="158" customFormat="false" ht="15" hidden="false" customHeight="false" outlineLevel="0" collapsed="false">
      <c r="A158" s="2" t="n">
        <v>46234</v>
      </c>
      <c r="B158" s="3" t="s">
        <v>217</v>
      </c>
      <c r="C158" s="3" t="str">
        <f aca="false">MONTH(A158)&amp;"月"</f>
        <v>7月</v>
      </c>
      <c r="D158" s="4" t="s">
        <v>29</v>
      </c>
      <c r="E158" s="4" t="s">
        <v>105</v>
      </c>
      <c r="F158" s="4" t="s">
        <v>125</v>
      </c>
      <c r="G158" s="5" t="n">
        <v>3</v>
      </c>
      <c r="H158" s="6" t="n">
        <v>24800</v>
      </c>
      <c r="I158" s="7" t="n">
        <f aca="false">G158*H158</f>
        <v>74400</v>
      </c>
      <c r="J158" s="4" t="s">
        <v>26</v>
      </c>
      <c r="K158" s="4" t="s">
        <v>115</v>
      </c>
    </row>
    <row r="159" customFormat="false" ht="15" hidden="false" customHeight="false" outlineLevel="0" collapsed="false">
      <c r="A159" s="2" t="n">
        <v>46234</v>
      </c>
      <c r="B159" s="3" t="s">
        <v>218</v>
      </c>
      <c r="C159" s="3" t="str">
        <f aca="false">MONTH(A159)&amp;"月"</f>
        <v>7月</v>
      </c>
      <c r="D159" s="4" t="s">
        <v>24</v>
      </c>
      <c r="E159" s="4" t="s">
        <v>33</v>
      </c>
      <c r="F159" s="4" t="s">
        <v>34</v>
      </c>
      <c r="G159" s="5" t="n">
        <v>4</v>
      </c>
      <c r="H159" s="6" t="n">
        <v>680</v>
      </c>
      <c r="I159" s="7" t="n">
        <f aca="false">G159*H159</f>
        <v>2720</v>
      </c>
      <c r="J159" s="4" t="s">
        <v>21</v>
      </c>
      <c r="K159" s="4" t="s">
        <v>27</v>
      </c>
    </row>
    <row r="160" customFormat="false" ht="15" hidden="false" customHeight="false" outlineLevel="0" collapsed="false">
      <c r="A160" s="2" t="n">
        <v>46237</v>
      </c>
      <c r="B160" s="3" t="s">
        <v>219</v>
      </c>
      <c r="C160" s="3" t="str">
        <f aca="false">MONTH(A160)&amp;"月"</f>
        <v>8月</v>
      </c>
      <c r="D160" s="4" t="s">
        <v>43</v>
      </c>
      <c r="E160" s="4" t="s">
        <v>19</v>
      </c>
      <c r="F160" s="4" t="s">
        <v>82</v>
      </c>
      <c r="G160" s="5" t="n">
        <v>3</v>
      </c>
      <c r="H160" s="6" t="n">
        <v>4680</v>
      </c>
      <c r="I160" s="7" t="n">
        <f aca="false">G160*H160</f>
        <v>14040</v>
      </c>
      <c r="J160" s="4" t="s">
        <v>21</v>
      </c>
      <c r="K160" s="4" t="s">
        <v>44</v>
      </c>
    </row>
    <row r="161" customFormat="false" ht="15" hidden="false" customHeight="false" outlineLevel="0" collapsed="false">
      <c r="A161" s="2" t="n">
        <v>46237</v>
      </c>
      <c r="B161" s="3" t="s">
        <v>220</v>
      </c>
      <c r="C161" s="3" t="str">
        <f aca="false">MONTH(A161)&amp;"月"</f>
        <v>8月</v>
      </c>
      <c r="D161" s="4" t="s">
        <v>12</v>
      </c>
      <c r="E161" s="4" t="s">
        <v>36</v>
      </c>
      <c r="F161" s="4" t="s">
        <v>122</v>
      </c>
      <c r="G161" s="5" t="n">
        <v>2</v>
      </c>
      <c r="H161" s="6" t="n">
        <v>2380</v>
      </c>
      <c r="I161" s="7" t="n">
        <f aca="false">G161*H161</f>
        <v>4760</v>
      </c>
      <c r="J161" s="4" t="s">
        <v>21</v>
      </c>
      <c r="K161" s="4" t="s">
        <v>16</v>
      </c>
    </row>
    <row r="162" customFormat="false" ht="15" hidden="false" customHeight="false" outlineLevel="0" collapsed="false">
      <c r="A162" s="2" t="n">
        <v>46237</v>
      </c>
      <c r="B162" s="3" t="s">
        <v>221</v>
      </c>
      <c r="C162" s="3" t="str">
        <f aca="false">MONTH(A162)&amp;"月"</f>
        <v>8月</v>
      </c>
      <c r="D162" s="4" t="s">
        <v>54</v>
      </c>
      <c r="E162" s="4" t="s">
        <v>33</v>
      </c>
      <c r="F162" s="3" t="s">
        <v>70</v>
      </c>
      <c r="G162" s="5" t="n">
        <v>2</v>
      </c>
      <c r="H162" s="6" t="n">
        <v>2480</v>
      </c>
      <c r="I162" s="7" t="n">
        <f aca="false">G162*H162</f>
        <v>4960</v>
      </c>
      <c r="J162" s="4" t="s">
        <v>15</v>
      </c>
      <c r="K162" s="4" t="s">
        <v>55</v>
      </c>
    </row>
    <row r="163" customFormat="false" ht="15" hidden="false" customHeight="false" outlineLevel="0" collapsed="false">
      <c r="A163" s="2" t="n">
        <v>46238</v>
      </c>
      <c r="B163" s="3" t="s">
        <v>222</v>
      </c>
      <c r="C163" s="3" t="str">
        <f aca="false">MONTH(A163)&amp;"月"</f>
        <v>8月</v>
      </c>
      <c r="D163" s="4" t="s">
        <v>65</v>
      </c>
      <c r="E163" s="4" t="s">
        <v>33</v>
      </c>
      <c r="F163" s="4" t="s">
        <v>34</v>
      </c>
      <c r="G163" s="5" t="n">
        <v>2</v>
      </c>
      <c r="H163" s="6" t="n">
        <v>680</v>
      </c>
      <c r="I163" s="7" t="n">
        <f aca="false">G163*H163</f>
        <v>1360</v>
      </c>
      <c r="J163" s="4" t="s">
        <v>26</v>
      </c>
      <c r="K163" s="4" t="s">
        <v>66</v>
      </c>
    </row>
    <row r="164" customFormat="false" ht="15" hidden="false" customHeight="false" outlineLevel="0" collapsed="false">
      <c r="A164" s="2" t="n">
        <v>46238</v>
      </c>
      <c r="B164" s="3" t="s">
        <v>223</v>
      </c>
      <c r="C164" s="3" t="str">
        <f aca="false">MONTH(A164)&amp;"月"</f>
        <v>8月</v>
      </c>
      <c r="D164" s="4" t="s">
        <v>12</v>
      </c>
      <c r="E164" s="4" t="s">
        <v>19</v>
      </c>
      <c r="F164" s="4" t="s">
        <v>139</v>
      </c>
      <c r="G164" s="5" t="n">
        <v>5</v>
      </c>
      <c r="H164" s="6" t="n">
        <v>3280</v>
      </c>
      <c r="I164" s="7" t="n">
        <f aca="false">G164*H164</f>
        <v>16400</v>
      </c>
      <c r="J164" s="4" t="s">
        <v>21</v>
      </c>
      <c r="K164" s="4" t="s">
        <v>16</v>
      </c>
    </row>
    <row r="165" customFormat="false" ht="15" hidden="false" customHeight="false" outlineLevel="0" collapsed="false">
      <c r="A165" s="2" t="n">
        <v>46238</v>
      </c>
      <c r="B165" s="3" t="s">
        <v>224</v>
      </c>
      <c r="C165" s="3" t="str">
        <f aca="false">MONTH(A165)&amp;"月"</f>
        <v>8月</v>
      </c>
      <c r="D165" s="4" t="s">
        <v>29</v>
      </c>
      <c r="E165" s="3" t="s">
        <v>13</v>
      </c>
      <c r="F165" s="3" t="s">
        <v>40</v>
      </c>
      <c r="G165" s="5" t="n">
        <v>3</v>
      </c>
      <c r="H165" s="6" t="n">
        <v>6480</v>
      </c>
      <c r="I165" s="7" t="n">
        <f aca="false">G165*H165</f>
        <v>19440</v>
      </c>
      <c r="J165" s="4" t="s">
        <v>26</v>
      </c>
      <c r="K165" s="4" t="s">
        <v>115</v>
      </c>
    </row>
    <row r="166" customFormat="false" ht="15" hidden="false" customHeight="false" outlineLevel="0" collapsed="false">
      <c r="A166" s="2" t="n">
        <v>46239</v>
      </c>
      <c r="B166" s="3" t="s">
        <v>225</v>
      </c>
      <c r="C166" s="3" t="str">
        <f aca="false">MONTH(A166)&amp;"月"</f>
        <v>8月</v>
      </c>
      <c r="D166" s="4" t="s">
        <v>39</v>
      </c>
      <c r="E166" s="4" t="s">
        <v>33</v>
      </c>
      <c r="F166" s="4" t="s">
        <v>34</v>
      </c>
      <c r="G166" s="5" t="n">
        <v>5</v>
      </c>
      <c r="H166" s="6" t="n">
        <v>680</v>
      </c>
      <c r="I166" s="7" t="n">
        <f aca="false">G166*H166</f>
        <v>3400</v>
      </c>
      <c r="J166" s="4" t="s">
        <v>26</v>
      </c>
      <c r="K166" s="4" t="s">
        <v>41</v>
      </c>
    </row>
    <row r="167" customFormat="false" ht="15" hidden="false" customHeight="false" outlineLevel="0" collapsed="false">
      <c r="A167" s="2" t="n">
        <v>46239</v>
      </c>
      <c r="B167" s="3" t="s">
        <v>226</v>
      </c>
      <c r="C167" s="3" t="str">
        <f aca="false">MONTH(A167)&amp;"月"</f>
        <v>8月</v>
      </c>
      <c r="D167" s="4" t="s">
        <v>24</v>
      </c>
      <c r="E167" s="3" t="s">
        <v>13</v>
      </c>
      <c r="F167" s="3" t="s">
        <v>14</v>
      </c>
      <c r="G167" s="5" t="n">
        <v>6</v>
      </c>
      <c r="H167" s="6" t="n">
        <v>4980</v>
      </c>
      <c r="I167" s="7" t="n">
        <f aca="false">G167*H167</f>
        <v>29880</v>
      </c>
      <c r="J167" s="4" t="s">
        <v>21</v>
      </c>
      <c r="K167" s="4" t="s">
        <v>27</v>
      </c>
    </row>
    <row r="168" customFormat="false" ht="15" hidden="false" customHeight="false" outlineLevel="0" collapsed="false">
      <c r="A168" s="2" t="n">
        <v>46239</v>
      </c>
      <c r="B168" s="3" t="s">
        <v>227</v>
      </c>
      <c r="C168" s="3" t="str">
        <f aca="false">MONTH(A168)&amp;"月"</f>
        <v>8月</v>
      </c>
      <c r="D168" s="4" t="s">
        <v>29</v>
      </c>
      <c r="E168" s="4" t="s">
        <v>36</v>
      </c>
      <c r="F168" s="4" t="s">
        <v>122</v>
      </c>
      <c r="G168" s="5" t="n">
        <v>1</v>
      </c>
      <c r="H168" s="6" t="n">
        <v>2380</v>
      </c>
      <c r="I168" s="7" t="n">
        <f aca="false">G168*H168</f>
        <v>2380</v>
      </c>
      <c r="J168" s="4" t="s">
        <v>26</v>
      </c>
      <c r="K168" s="4" t="s">
        <v>115</v>
      </c>
    </row>
    <row r="169" customFormat="false" ht="15" hidden="false" customHeight="false" outlineLevel="0" collapsed="false">
      <c r="A169" s="2" t="n">
        <v>46240</v>
      </c>
      <c r="B169" s="3" t="s">
        <v>228</v>
      </c>
      <c r="C169" s="3" t="str">
        <f aca="false">MONTH(A169)&amp;"月"</f>
        <v>8月</v>
      </c>
      <c r="D169" s="4" t="s">
        <v>43</v>
      </c>
      <c r="E169" s="4" t="s">
        <v>33</v>
      </c>
      <c r="F169" s="3" t="s">
        <v>70</v>
      </c>
      <c r="G169" s="5" t="n">
        <v>2</v>
      </c>
      <c r="H169" s="6" t="n">
        <v>2480</v>
      </c>
      <c r="I169" s="7" t="n">
        <f aca="false">G169*H169</f>
        <v>4960</v>
      </c>
      <c r="J169" s="4" t="s">
        <v>21</v>
      </c>
      <c r="K169" s="4" t="s">
        <v>44</v>
      </c>
    </row>
    <row r="170" customFormat="false" ht="15" hidden="false" customHeight="false" outlineLevel="0" collapsed="false">
      <c r="A170" s="2" t="n">
        <v>46241</v>
      </c>
      <c r="B170" s="3" t="s">
        <v>229</v>
      </c>
      <c r="C170" s="3" t="str">
        <f aca="false">MONTH(A170)&amp;"月"</f>
        <v>8月</v>
      </c>
      <c r="D170" s="4" t="s">
        <v>12</v>
      </c>
      <c r="E170" s="4" t="s">
        <v>33</v>
      </c>
      <c r="F170" s="4" t="s">
        <v>59</v>
      </c>
      <c r="G170" s="5" t="n">
        <v>2</v>
      </c>
      <c r="H170" s="6" t="n">
        <v>1980</v>
      </c>
      <c r="I170" s="7" t="n">
        <f aca="false">G170*H170</f>
        <v>3960</v>
      </c>
      <c r="J170" s="4" t="s">
        <v>15</v>
      </c>
      <c r="K170" s="4" t="s">
        <v>16</v>
      </c>
    </row>
    <row r="171" customFormat="false" ht="15" hidden="false" customHeight="false" outlineLevel="0" collapsed="false">
      <c r="A171" s="2" t="n">
        <v>46241</v>
      </c>
      <c r="B171" s="3" t="s">
        <v>230</v>
      </c>
      <c r="C171" s="3" t="str">
        <f aca="false">MONTH(A171)&amp;"月"</f>
        <v>8月</v>
      </c>
      <c r="D171" s="4" t="s">
        <v>43</v>
      </c>
      <c r="E171" s="4" t="s">
        <v>19</v>
      </c>
      <c r="F171" s="4" t="s">
        <v>20</v>
      </c>
      <c r="G171" s="5" t="n">
        <v>5</v>
      </c>
      <c r="H171" s="6" t="n">
        <v>3150</v>
      </c>
      <c r="I171" s="7" t="n">
        <f aca="false">G171*H171</f>
        <v>15750</v>
      </c>
      <c r="J171" s="4" t="s">
        <v>15</v>
      </c>
      <c r="K171" s="4" t="s">
        <v>44</v>
      </c>
    </row>
    <row r="172" customFormat="false" ht="15" hidden="false" customHeight="false" outlineLevel="0" collapsed="false">
      <c r="A172" s="2" t="n">
        <v>46245</v>
      </c>
      <c r="B172" s="3" t="s">
        <v>231</v>
      </c>
      <c r="C172" s="3" t="str">
        <f aca="false">MONTH(A172)&amp;"月"</f>
        <v>8月</v>
      </c>
      <c r="D172" s="4" t="s">
        <v>43</v>
      </c>
      <c r="E172" s="4" t="s">
        <v>33</v>
      </c>
      <c r="F172" s="4" t="s">
        <v>47</v>
      </c>
      <c r="G172" s="5" t="n">
        <v>3</v>
      </c>
      <c r="H172" s="6" t="n">
        <v>1320</v>
      </c>
      <c r="I172" s="7" t="n">
        <f aca="false">G172*H172</f>
        <v>3960</v>
      </c>
      <c r="J172" s="4" t="s">
        <v>26</v>
      </c>
      <c r="K172" s="4" t="s">
        <v>44</v>
      </c>
    </row>
    <row r="173" customFormat="false" ht="15" hidden="false" customHeight="false" outlineLevel="0" collapsed="false">
      <c r="A173" s="2" t="n">
        <v>46245</v>
      </c>
      <c r="B173" s="3" t="s">
        <v>232</v>
      </c>
      <c r="C173" s="3" t="str">
        <f aca="false">MONTH(A173)&amp;"月"</f>
        <v>8月</v>
      </c>
      <c r="D173" s="4" t="s">
        <v>18</v>
      </c>
      <c r="E173" s="4" t="s">
        <v>33</v>
      </c>
      <c r="F173" s="4" t="s">
        <v>34</v>
      </c>
      <c r="G173" s="5" t="n">
        <v>5</v>
      </c>
      <c r="H173" s="6" t="n">
        <v>680</v>
      </c>
      <c r="I173" s="7" t="n">
        <f aca="false">G173*H173</f>
        <v>3400</v>
      </c>
      <c r="J173" s="4" t="s">
        <v>21</v>
      </c>
      <c r="K173" s="4" t="s">
        <v>22</v>
      </c>
    </row>
    <row r="174" customFormat="false" ht="15" hidden="false" customHeight="false" outlineLevel="0" collapsed="false">
      <c r="A174" s="2" t="n">
        <v>46245</v>
      </c>
      <c r="B174" s="3" t="s">
        <v>233</v>
      </c>
      <c r="C174" s="3" t="str">
        <f aca="false">MONTH(A174)&amp;"月"</f>
        <v>8月</v>
      </c>
      <c r="D174" s="4" t="s">
        <v>39</v>
      </c>
      <c r="E174" s="4" t="s">
        <v>36</v>
      </c>
      <c r="F174" s="4" t="s">
        <v>37</v>
      </c>
      <c r="G174" s="5" t="n">
        <v>3</v>
      </c>
      <c r="H174" s="6" t="n">
        <v>18900</v>
      </c>
      <c r="I174" s="7" t="n">
        <f aca="false">G174*H174</f>
        <v>56700</v>
      </c>
      <c r="J174" s="4" t="s">
        <v>26</v>
      </c>
      <c r="K174" s="4" t="s">
        <v>41</v>
      </c>
    </row>
    <row r="175" customFormat="false" ht="15" hidden="false" customHeight="false" outlineLevel="0" collapsed="false">
      <c r="A175" s="2" t="n">
        <v>46245</v>
      </c>
      <c r="B175" s="3" t="s">
        <v>234</v>
      </c>
      <c r="C175" s="3" t="str">
        <f aca="false">MONTH(A175)&amp;"月"</f>
        <v>8月</v>
      </c>
      <c r="D175" s="4" t="s">
        <v>43</v>
      </c>
      <c r="E175" s="4" t="s">
        <v>105</v>
      </c>
      <c r="F175" s="4" t="s">
        <v>166</v>
      </c>
      <c r="G175" s="5" t="n">
        <v>3</v>
      </c>
      <c r="H175" s="6" t="n">
        <v>38500</v>
      </c>
      <c r="I175" s="7" t="n">
        <f aca="false">G175*H175</f>
        <v>115500</v>
      </c>
      <c r="J175" s="4" t="s">
        <v>26</v>
      </c>
      <c r="K175" s="4" t="s">
        <v>44</v>
      </c>
    </row>
    <row r="176" customFormat="false" ht="15" hidden="false" customHeight="false" outlineLevel="0" collapsed="false">
      <c r="A176" s="2" t="n">
        <v>46246</v>
      </c>
      <c r="B176" s="3" t="s">
        <v>235</v>
      </c>
      <c r="C176" s="3" t="str">
        <f aca="false">MONTH(A176)&amp;"月"</f>
        <v>8月</v>
      </c>
      <c r="D176" s="4" t="s">
        <v>65</v>
      </c>
      <c r="E176" s="4" t="s">
        <v>33</v>
      </c>
      <c r="F176" s="4" t="s">
        <v>34</v>
      </c>
      <c r="G176" s="5" t="n">
        <v>3</v>
      </c>
      <c r="H176" s="6" t="n">
        <v>680</v>
      </c>
      <c r="I176" s="7" t="n">
        <f aca="false">G176*H176</f>
        <v>2040</v>
      </c>
      <c r="J176" s="4" t="s">
        <v>26</v>
      </c>
      <c r="K176" s="4" t="s">
        <v>66</v>
      </c>
    </row>
    <row r="177" customFormat="false" ht="15" hidden="false" customHeight="false" outlineLevel="0" collapsed="false">
      <c r="A177" s="2" t="n">
        <v>46246</v>
      </c>
      <c r="B177" s="3" t="s">
        <v>236</v>
      </c>
      <c r="C177" s="3" t="str">
        <f aca="false">MONTH(A177)&amp;"月"</f>
        <v>8月</v>
      </c>
      <c r="D177" s="4" t="s">
        <v>29</v>
      </c>
      <c r="E177" s="4" t="s">
        <v>36</v>
      </c>
      <c r="F177" s="4" t="s">
        <v>37</v>
      </c>
      <c r="G177" s="5" t="n">
        <v>2</v>
      </c>
      <c r="H177" s="6" t="n">
        <v>18900</v>
      </c>
      <c r="I177" s="7" t="n">
        <f aca="false">G177*H177</f>
        <v>37800</v>
      </c>
      <c r="J177" s="4" t="s">
        <v>15</v>
      </c>
      <c r="K177" s="4" t="s">
        <v>115</v>
      </c>
    </row>
    <row r="178" customFormat="false" ht="15" hidden="false" customHeight="false" outlineLevel="0" collapsed="false">
      <c r="A178" s="2" t="n">
        <v>46247</v>
      </c>
      <c r="B178" s="3" t="s">
        <v>237</v>
      </c>
      <c r="C178" s="3" t="str">
        <f aca="false">MONTH(A178)&amp;"月"</f>
        <v>8月</v>
      </c>
      <c r="D178" s="4" t="s">
        <v>24</v>
      </c>
      <c r="E178" s="4" t="s">
        <v>33</v>
      </c>
      <c r="F178" s="4" t="s">
        <v>49</v>
      </c>
      <c r="G178" s="5" t="n">
        <v>4</v>
      </c>
      <c r="H178" s="6" t="n">
        <v>1650</v>
      </c>
      <c r="I178" s="7" t="n">
        <f aca="false">G178*H178</f>
        <v>6600</v>
      </c>
      <c r="J178" s="4" t="s">
        <v>15</v>
      </c>
      <c r="K178" s="4" t="s">
        <v>27</v>
      </c>
    </row>
    <row r="179" customFormat="false" ht="15" hidden="false" customHeight="false" outlineLevel="0" collapsed="false">
      <c r="A179" s="2" t="n">
        <v>46248</v>
      </c>
      <c r="B179" s="3" t="s">
        <v>238</v>
      </c>
      <c r="C179" s="3" t="str">
        <f aca="false">MONTH(A179)&amp;"月"</f>
        <v>8月</v>
      </c>
      <c r="D179" s="4" t="s">
        <v>43</v>
      </c>
      <c r="E179" s="4" t="s">
        <v>19</v>
      </c>
      <c r="F179" s="4" t="s">
        <v>139</v>
      </c>
      <c r="G179" s="5" t="n">
        <v>6</v>
      </c>
      <c r="H179" s="6" t="n">
        <v>3280</v>
      </c>
      <c r="I179" s="7" t="n">
        <f aca="false">G179*H179</f>
        <v>19680</v>
      </c>
      <c r="J179" s="4" t="s">
        <v>26</v>
      </c>
      <c r="K179" s="4" t="s">
        <v>44</v>
      </c>
    </row>
    <row r="180" customFormat="false" ht="15" hidden="false" customHeight="false" outlineLevel="0" collapsed="false">
      <c r="A180" s="2" t="n">
        <v>46251</v>
      </c>
      <c r="B180" s="3" t="s">
        <v>239</v>
      </c>
      <c r="C180" s="3" t="str">
        <f aca="false">MONTH(A180)&amp;"月"</f>
        <v>8月</v>
      </c>
      <c r="D180" s="4" t="s">
        <v>18</v>
      </c>
      <c r="E180" s="4" t="s">
        <v>33</v>
      </c>
      <c r="F180" s="4" t="s">
        <v>52</v>
      </c>
      <c r="G180" s="5" t="n">
        <v>5</v>
      </c>
      <c r="H180" s="6" t="n">
        <v>420</v>
      </c>
      <c r="I180" s="7" t="n">
        <f aca="false">G180*H180</f>
        <v>2100</v>
      </c>
      <c r="J180" s="4" t="s">
        <v>21</v>
      </c>
      <c r="K180" s="4" t="s">
        <v>22</v>
      </c>
    </row>
    <row r="181" customFormat="false" ht="15" hidden="false" customHeight="false" outlineLevel="0" collapsed="false">
      <c r="A181" s="2" t="n">
        <v>46251</v>
      </c>
      <c r="B181" s="3" t="s">
        <v>240</v>
      </c>
      <c r="C181" s="3" t="str">
        <f aca="false">MONTH(A181)&amp;"月"</f>
        <v>8月</v>
      </c>
      <c r="D181" s="4" t="s">
        <v>18</v>
      </c>
      <c r="E181" s="4" t="s">
        <v>33</v>
      </c>
      <c r="F181" s="4" t="s">
        <v>52</v>
      </c>
      <c r="G181" s="5" t="n">
        <v>1</v>
      </c>
      <c r="H181" s="6" t="n">
        <v>420</v>
      </c>
      <c r="I181" s="7" t="n">
        <f aca="false">G181*H181</f>
        <v>420</v>
      </c>
      <c r="J181" s="4" t="s">
        <v>15</v>
      </c>
      <c r="K181" s="4" t="s">
        <v>22</v>
      </c>
    </row>
    <row r="182" customFormat="false" ht="15" hidden="false" customHeight="false" outlineLevel="0" collapsed="false">
      <c r="A182" s="2" t="n">
        <v>46252</v>
      </c>
      <c r="B182" s="3" t="s">
        <v>241</v>
      </c>
      <c r="C182" s="3" t="str">
        <f aca="false">MONTH(A182)&amp;"月"</f>
        <v>8月</v>
      </c>
      <c r="D182" s="4" t="s">
        <v>18</v>
      </c>
      <c r="E182" s="4" t="s">
        <v>33</v>
      </c>
      <c r="F182" s="4" t="s">
        <v>34</v>
      </c>
      <c r="G182" s="5" t="n">
        <v>4</v>
      </c>
      <c r="H182" s="6" t="n">
        <v>680</v>
      </c>
      <c r="I182" s="7" t="n">
        <f aca="false">G182*H182</f>
        <v>2720</v>
      </c>
      <c r="J182" s="4" t="s">
        <v>21</v>
      </c>
      <c r="K182" s="4" t="s">
        <v>22</v>
      </c>
    </row>
    <row r="183" customFormat="false" ht="15" hidden="false" customHeight="false" outlineLevel="0" collapsed="false">
      <c r="A183" s="2" t="n">
        <v>46252</v>
      </c>
      <c r="B183" s="3" t="s">
        <v>242</v>
      </c>
      <c r="C183" s="3" t="str">
        <f aca="false">MONTH(A183)&amp;"月"</f>
        <v>8月</v>
      </c>
      <c r="D183" s="4" t="s">
        <v>29</v>
      </c>
      <c r="E183" s="3" t="s">
        <v>13</v>
      </c>
      <c r="F183" s="4" t="s">
        <v>91</v>
      </c>
      <c r="G183" s="5" t="n">
        <v>10</v>
      </c>
      <c r="H183" s="6" t="n">
        <v>5980</v>
      </c>
      <c r="I183" s="7" t="n">
        <f aca="false">G183*H183</f>
        <v>59800</v>
      </c>
      <c r="J183" s="4" t="s">
        <v>21</v>
      </c>
      <c r="K183" s="4" t="s">
        <v>31</v>
      </c>
    </row>
    <row r="184" customFormat="false" ht="15" hidden="false" customHeight="false" outlineLevel="0" collapsed="false">
      <c r="A184" s="2" t="n">
        <v>46253</v>
      </c>
      <c r="B184" s="3" t="s">
        <v>243</v>
      </c>
      <c r="C184" s="3" t="str">
        <f aca="false">MONTH(A184)&amp;"月"</f>
        <v>8月</v>
      </c>
      <c r="D184" s="4" t="s">
        <v>65</v>
      </c>
      <c r="E184" s="3" t="s">
        <v>13</v>
      </c>
      <c r="F184" s="3" t="s">
        <v>14</v>
      </c>
      <c r="G184" s="5" t="n">
        <v>6</v>
      </c>
      <c r="H184" s="6" t="n">
        <v>4980</v>
      </c>
      <c r="I184" s="7" t="n">
        <f aca="false">G184*H184</f>
        <v>29880</v>
      </c>
      <c r="J184" s="4" t="s">
        <v>21</v>
      </c>
      <c r="K184" s="4" t="s">
        <v>66</v>
      </c>
    </row>
    <row r="185" customFormat="false" ht="15" hidden="false" customHeight="false" outlineLevel="0" collapsed="false">
      <c r="A185" s="2" t="n">
        <v>46253</v>
      </c>
      <c r="B185" s="3" t="s">
        <v>244</v>
      </c>
      <c r="C185" s="3" t="str">
        <f aca="false">MONTH(A185)&amp;"月"</f>
        <v>8月</v>
      </c>
      <c r="D185" s="4" t="s">
        <v>18</v>
      </c>
      <c r="E185" s="3" t="s">
        <v>13</v>
      </c>
      <c r="F185" s="4" t="s">
        <v>162</v>
      </c>
      <c r="G185" s="5" t="n">
        <v>1</v>
      </c>
      <c r="H185" s="6" t="n">
        <v>2780</v>
      </c>
      <c r="I185" s="7" t="n">
        <f aca="false">G185*H185</f>
        <v>2780</v>
      </c>
      <c r="J185" s="4" t="s">
        <v>26</v>
      </c>
      <c r="K185" s="4" t="s">
        <v>22</v>
      </c>
    </row>
    <row r="186" customFormat="false" ht="15" hidden="false" customHeight="false" outlineLevel="0" collapsed="false">
      <c r="A186" s="2" t="n">
        <v>46253</v>
      </c>
      <c r="B186" s="3" t="s">
        <v>245</v>
      </c>
      <c r="C186" s="3" t="str">
        <f aca="false">MONTH(A186)&amp;"月"</f>
        <v>8月</v>
      </c>
      <c r="D186" s="4" t="s">
        <v>12</v>
      </c>
      <c r="E186" s="4" t="s">
        <v>36</v>
      </c>
      <c r="F186" s="4" t="s">
        <v>57</v>
      </c>
      <c r="G186" s="5" t="n">
        <v>6</v>
      </c>
      <c r="H186" s="6" t="n">
        <v>7480</v>
      </c>
      <c r="I186" s="7" t="n">
        <f aca="false">G186*H186</f>
        <v>44880</v>
      </c>
      <c r="J186" s="4" t="s">
        <v>26</v>
      </c>
      <c r="K186" s="4" t="s">
        <v>16</v>
      </c>
    </row>
    <row r="187" customFormat="false" ht="15" hidden="false" customHeight="false" outlineLevel="0" collapsed="false">
      <c r="A187" s="2" t="n">
        <v>46253</v>
      </c>
      <c r="B187" s="3" t="s">
        <v>246</v>
      </c>
      <c r="C187" s="3" t="str">
        <f aca="false">MONTH(A187)&amp;"月"</f>
        <v>8月</v>
      </c>
      <c r="D187" s="4" t="s">
        <v>12</v>
      </c>
      <c r="E187" s="4" t="s">
        <v>33</v>
      </c>
      <c r="F187" s="4" t="s">
        <v>47</v>
      </c>
      <c r="G187" s="5" t="n">
        <v>4</v>
      </c>
      <c r="H187" s="6" t="n">
        <v>1320</v>
      </c>
      <c r="I187" s="7" t="n">
        <f aca="false">G187*H187</f>
        <v>5280</v>
      </c>
      <c r="J187" s="4" t="s">
        <v>26</v>
      </c>
      <c r="K187" s="4" t="s">
        <v>16</v>
      </c>
    </row>
    <row r="188" customFormat="false" ht="15" hidden="false" customHeight="false" outlineLevel="0" collapsed="false">
      <c r="A188" s="2" t="n">
        <v>46254</v>
      </c>
      <c r="B188" s="3" t="s">
        <v>247</v>
      </c>
      <c r="C188" s="3" t="str">
        <f aca="false">MONTH(A188)&amp;"月"</f>
        <v>8月</v>
      </c>
      <c r="D188" s="4" t="s">
        <v>12</v>
      </c>
      <c r="E188" s="4" t="s">
        <v>36</v>
      </c>
      <c r="F188" s="4" t="s">
        <v>62</v>
      </c>
      <c r="G188" s="5" t="n">
        <v>2</v>
      </c>
      <c r="H188" s="6" t="n">
        <v>1580</v>
      </c>
      <c r="I188" s="7" t="n">
        <f aca="false">G188*H188</f>
        <v>3160</v>
      </c>
      <c r="J188" s="4" t="s">
        <v>26</v>
      </c>
      <c r="K188" s="4" t="s">
        <v>16</v>
      </c>
    </row>
    <row r="189" customFormat="false" ht="15" hidden="false" customHeight="false" outlineLevel="0" collapsed="false">
      <c r="A189" s="2" t="n">
        <v>46254</v>
      </c>
      <c r="B189" s="3" t="s">
        <v>248</v>
      </c>
      <c r="C189" s="3" t="str">
        <f aca="false">MONTH(A189)&amp;"月"</f>
        <v>8月</v>
      </c>
      <c r="D189" s="4" t="s">
        <v>12</v>
      </c>
      <c r="E189" s="3" t="s">
        <v>13</v>
      </c>
      <c r="F189" s="3" t="s">
        <v>14</v>
      </c>
      <c r="G189" s="5" t="n">
        <v>2</v>
      </c>
      <c r="H189" s="6" t="n">
        <v>4980</v>
      </c>
      <c r="I189" s="7" t="n">
        <f aca="false">G189*H189</f>
        <v>9960</v>
      </c>
      <c r="J189" s="4" t="s">
        <v>26</v>
      </c>
      <c r="K189" s="4" t="s">
        <v>16</v>
      </c>
    </row>
    <row r="190" customFormat="false" ht="15" hidden="false" customHeight="false" outlineLevel="0" collapsed="false">
      <c r="A190" s="2" t="n">
        <v>46255</v>
      </c>
      <c r="B190" s="3" t="s">
        <v>249</v>
      </c>
      <c r="C190" s="3" t="str">
        <f aca="false">MONTH(A190)&amp;"月"</f>
        <v>8月</v>
      </c>
      <c r="D190" s="4" t="s">
        <v>29</v>
      </c>
      <c r="E190" s="4" t="s">
        <v>19</v>
      </c>
      <c r="F190" s="4" t="s">
        <v>25</v>
      </c>
      <c r="G190" s="5" t="n">
        <v>6</v>
      </c>
      <c r="H190" s="6" t="n">
        <v>1980</v>
      </c>
      <c r="I190" s="7" t="n">
        <f aca="false">G190*H190</f>
        <v>11880</v>
      </c>
      <c r="J190" s="4" t="s">
        <v>21</v>
      </c>
      <c r="K190" s="4" t="s">
        <v>115</v>
      </c>
    </row>
    <row r="191" customFormat="false" ht="15" hidden="false" customHeight="false" outlineLevel="0" collapsed="false">
      <c r="A191" s="2" t="n">
        <v>46261</v>
      </c>
      <c r="B191" s="3" t="s">
        <v>250</v>
      </c>
      <c r="C191" s="3" t="str">
        <f aca="false">MONTH(A191)&amp;"月"</f>
        <v>8月</v>
      </c>
      <c r="D191" s="4" t="s">
        <v>65</v>
      </c>
      <c r="E191" s="4" t="s">
        <v>33</v>
      </c>
      <c r="F191" s="4" t="s">
        <v>52</v>
      </c>
      <c r="G191" s="5" t="n">
        <v>5</v>
      </c>
      <c r="H191" s="6" t="n">
        <v>420</v>
      </c>
      <c r="I191" s="7" t="n">
        <f aca="false">G191*H191</f>
        <v>2100</v>
      </c>
      <c r="J191" s="4" t="s">
        <v>15</v>
      </c>
      <c r="K191" s="4" t="s">
        <v>66</v>
      </c>
    </row>
    <row r="192" customFormat="false" ht="15" hidden="false" customHeight="false" outlineLevel="0" collapsed="false">
      <c r="A192" s="2" t="n">
        <v>46261</v>
      </c>
      <c r="B192" s="3" t="s">
        <v>251</v>
      </c>
      <c r="C192" s="3" t="str">
        <f aca="false">MONTH(A192)&amp;"月"</f>
        <v>8月</v>
      </c>
      <c r="D192" s="4" t="s">
        <v>39</v>
      </c>
      <c r="E192" s="4" t="s">
        <v>33</v>
      </c>
      <c r="F192" s="4" t="s">
        <v>34</v>
      </c>
      <c r="G192" s="5" t="n">
        <v>2</v>
      </c>
      <c r="H192" s="6" t="n">
        <v>680</v>
      </c>
      <c r="I192" s="7" t="n">
        <f aca="false">G192*H192</f>
        <v>1360</v>
      </c>
      <c r="J192" s="4" t="s">
        <v>26</v>
      </c>
      <c r="K192" s="4" t="s">
        <v>41</v>
      </c>
    </row>
    <row r="193" customFormat="false" ht="15" hidden="false" customHeight="false" outlineLevel="0" collapsed="false">
      <c r="A193" s="2" t="n">
        <v>46262</v>
      </c>
      <c r="B193" s="3" t="s">
        <v>252</v>
      </c>
      <c r="C193" s="3" t="str">
        <f aca="false">MONTH(A193)&amp;"月"</f>
        <v>8月</v>
      </c>
      <c r="D193" s="4" t="s">
        <v>39</v>
      </c>
      <c r="E193" s="4" t="s">
        <v>33</v>
      </c>
      <c r="F193" s="4" t="s">
        <v>52</v>
      </c>
      <c r="G193" s="5" t="n">
        <v>10</v>
      </c>
      <c r="H193" s="6" t="n">
        <v>420</v>
      </c>
      <c r="I193" s="7" t="n">
        <f aca="false">G193*H193</f>
        <v>4200</v>
      </c>
      <c r="J193" s="4" t="s">
        <v>15</v>
      </c>
      <c r="K193" s="4" t="s">
        <v>41</v>
      </c>
    </row>
    <row r="194" customFormat="false" ht="15" hidden="false" customHeight="false" outlineLevel="0" collapsed="false">
      <c r="A194" s="2" t="n">
        <v>46265</v>
      </c>
      <c r="B194" s="3" t="s">
        <v>253</v>
      </c>
      <c r="C194" s="3" t="str">
        <f aca="false">MONTH(A194)&amp;"月"</f>
        <v>8月</v>
      </c>
      <c r="D194" s="4" t="s">
        <v>12</v>
      </c>
      <c r="E194" s="3" t="s">
        <v>13</v>
      </c>
      <c r="F194" s="4" t="s">
        <v>91</v>
      </c>
      <c r="G194" s="5" t="n">
        <v>3</v>
      </c>
      <c r="H194" s="6" t="n">
        <v>5980</v>
      </c>
      <c r="I194" s="7" t="n">
        <f aca="false">G194*H194</f>
        <v>17940</v>
      </c>
      <c r="J194" s="4" t="s">
        <v>26</v>
      </c>
      <c r="K194" s="4" t="s">
        <v>16</v>
      </c>
    </row>
    <row r="195" customFormat="false" ht="15" hidden="false" customHeight="false" outlineLevel="0" collapsed="false">
      <c r="A195" s="2" t="n">
        <v>46265</v>
      </c>
      <c r="B195" s="3" t="s">
        <v>254</v>
      </c>
      <c r="C195" s="3" t="str">
        <f aca="false">MONTH(A195)&amp;"月"</f>
        <v>8月</v>
      </c>
      <c r="D195" s="4" t="s">
        <v>39</v>
      </c>
      <c r="E195" s="4" t="s">
        <v>33</v>
      </c>
      <c r="F195" s="4" t="s">
        <v>49</v>
      </c>
      <c r="G195" s="5" t="n">
        <v>2</v>
      </c>
      <c r="H195" s="6" t="n">
        <v>1650</v>
      </c>
      <c r="I195" s="7" t="n">
        <f aca="false">G195*H195</f>
        <v>3300</v>
      </c>
      <c r="J195" s="4" t="s">
        <v>21</v>
      </c>
      <c r="K195" s="4" t="s">
        <v>41</v>
      </c>
    </row>
    <row r="196" customFormat="false" ht="15" hidden="false" customHeight="false" outlineLevel="0" collapsed="false">
      <c r="A196" s="2" t="n">
        <v>46266</v>
      </c>
      <c r="B196" s="3" t="s">
        <v>255</v>
      </c>
      <c r="C196" s="3" t="str">
        <f aca="false">MONTH(A196)&amp;"月"</f>
        <v>9月</v>
      </c>
      <c r="D196" s="4" t="s">
        <v>39</v>
      </c>
      <c r="E196" s="4" t="s">
        <v>33</v>
      </c>
      <c r="F196" s="4" t="s">
        <v>49</v>
      </c>
      <c r="G196" s="5" t="n">
        <v>5</v>
      </c>
      <c r="H196" s="6" t="n">
        <v>1650</v>
      </c>
      <c r="I196" s="7" t="n">
        <f aca="false">G196*H196</f>
        <v>8250</v>
      </c>
      <c r="J196" s="4" t="s">
        <v>15</v>
      </c>
      <c r="K196" s="4" t="s">
        <v>41</v>
      </c>
    </row>
    <row r="197" customFormat="false" ht="15" hidden="false" customHeight="false" outlineLevel="0" collapsed="false">
      <c r="A197" s="2" t="n">
        <v>46266</v>
      </c>
      <c r="B197" s="3" t="s">
        <v>256</v>
      </c>
      <c r="C197" s="3" t="str">
        <f aca="false">MONTH(A197)&amp;"月"</f>
        <v>9月</v>
      </c>
      <c r="D197" s="4" t="s">
        <v>54</v>
      </c>
      <c r="E197" s="4" t="s">
        <v>33</v>
      </c>
      <c r="F197" s="3" t="s">
        <v>70</v>
      </c>
      <c r="G197" s="5" t="n">
        <v>4</v>
      </c>
      <c r="H197" s="6" t="n">
        <v>2480</v>
      </c>
      <c r="I197" s="7" t="n">
        <f aca="false">G197*H197</f>
        <v>9920</v>
      </c>
      <c r="J197" s="4" t="s">
        <v>21</v>
      </c>
      <c r="K197" s="4" t="s">
        <v>55</v>
      </c>
    </row>
    <row r="198" customFormat="false" ht="15" hidden="false" customHeight="false" outlineLevel="0" collapsed="false">
      <c r="A198" s="2" t="n">
        <v>46266</v>
      </c>
      <c r="B198" s="3" t="s">
        <v>257</v>
      </c>
      <c r="C198" s="3" t="str">
        <f aca="false">MONTH(A198)&amp;"月"</f>
        <v>9月</v>
      </c>
      <c r="D198" s="4" t="s">
        <v>24</v>
      </c>
      <c r="E198" s="3" t="s">
        <v>13</v>
      </c>
      <c r="F198" s="3" t="s">
        <v>14</v>
      </c>
      <c r="G198" s="5" t="n">
        <v>6</v>
      </c>
      <c r="H198" s="6" t="n">
        <v>4980</v>
      </c>
      <c r="I198" s="7" t="n">
        <f aca="false">G198*H198</f>
        <v>29880</v>
      </c>
      <c r="J198" s="4" t="s">
        <v>15</v>
      </c>
      <c r="K198" s="4" t="s">
        <v>27</v>
      </c>
    </row>
    <row r="199" customFormat="false" ht="15" hidden="false" customHeight="false" outlineLevel="0" collapsed="false">
      <c r="A199" s="2" t="n">
        <v>46267</v>
      </c>
      <c r="B199" s="3" t="s">
        <v>258</v>
      </c>
      <c r="C199" s="3" t="str">
        <f aca="false">MONTH(A199)&amp;"月"</f>
        <v>9月</v>
      </c>
      <c r="D199" s="4" t="s">
        <v>12</v>
      </c>
      <c r="E199" s="3" t="s">
        <v>13</v>
      </c>
      <c r="F199" s="3" t="s">
        <v>14</v>
      </c>
      <c r="G199" s="5" t="n">
        <v>4</v>
      </c>
      <c r="H199" s="6" t="n">
        <v>4980</v>
      </c>
      <c r="I199" s="7" t="n">
        <f aca="false">G199*H199</f>
        <v>19920</v>
      </c>
      <c r="J199" s="4" t="s">
        <v>26</v>
      </c>
      <c r="K199" s="4" t="s">
        <v>16</v>
      </c>
    </row>
    <row r="200" customFormat="false" ht="15" hidden="false" customHeight="false" outlineLevel="0" collapsed="false">
      <c r="A200" s="2" t="n">
        <v>46268</v>
      </c>
      <c r="B200" s="3" t="s">
        <v>259</v>
      </c>
      <c r="C200" s="3" t="str">
        <f aca="false">MONTH(A200)&amp;"月"</f>
        <v>9月</v>
      </c>
      <c r="D200" s="4" t="s">
        <v>43</v>
      </c>
      <c r="E200" s="3" t="s">
        <v>13</v>
      </c>
      <c r="F200" s="3" t="s">
        <v>40</v>
      </c>
      <c r="G200" s="5" t="n">
        <v>2</v>
      </c>
      <c r="H200" s="6" t="n">
        <v>6480</v>
      </c>
      <c r="I200" s="7" t="n">
        <f aca="false">G200*H200</f>
        <v>12960</v>
      </c>
      <c r="J200" s="4" t="s">
        <v>21</v>
      </c>
      <c r="K200" s="4" t="s">
        <v>44</v>
      </c>
    </row>
    <row r="201" customFormat="false" ht="15" hidden="false" customHeight="false" outlineLevel="0" collapsed="false">
      <c r="A201" s="2" t="n">
        <v>46268</v>
      </c>
      <c r="B201" s="3" t="s">
        <v>260</v>
      </c>
      <c r="C201" s="3" t="str">
        <f aca="false">MONTH(A201)&amp;"月"</f>
        <v>9月</v>
      </c>
      <c r="D201" s="4" t="s">
        <v>29</v>
      </c>
      <c r="E201" s="4" t="s">
        <v>33</v>
      </c>
      <c r="F201" s="4" t="s">
        <v>49</v>
      </c>
      <c r="G201" s="5" t="n">
        <v>1</v>
      </c>
      <c r="H201" s="6" t="n">
        <v>1650</v>
      </c>
      <c r="I201" s="7" t="n">
        <f aca="false">G201*H201</f>
        <v>1650</v>
      </c>
      <c r="J201" s="4" t="s">
        <v>26</v>
      </c>
      <c r="K201" s="4" t="s">
        <v>115</v>
      </c>
    </row>
    <row r="202" customFormat="false" ht="15" hidden="false" customHeight="false" outlineLevel="0" collapsed="false">
      <c r="A202" s="2" t="n">
        <v>46269</v>
      </c>
      <c r="B202" s="3" t="s">
        <v>261</v>
      </c>
      <c r="C202" s="3" t="str">
        <f aca="false">MONTH(A202)&amp;"月"</f>
        <v>9月</v>
      </c>
      <c r="D202" s="4" t="s">
        <v>18</v>
      </c>
      <c r="E202" s="4" t="s">
        <v>33</v>
      </c>
      <c r="F202" s="3" t="s">
        <v>70</v>
      </c>
      <c r="G202" s="5" t="n">
        <v>6</v>
      </c>
      <c r="H202" s="6" t="n">
        <v>2480</v>
      </c>
      <c r="I202" s="7" t="n">
        <f aca="false">G202*H202</f>
        <v>14880</v>
      </c>
      <c r="J202" s="4" t="s">
        <v>26</v>
      </c>
      <c r="K202" s="4" t="s">
        <v>22</v>
      </c>
    </row>
    <row r="203" customFormat="false" ht="15" hidden="false" customHeight="false" outlineLevel="0" collapsed="false">
      <c r="A203" s="2" t="n">
        <v>46272</v>
      </c>
      <c r="B203" s="3" t="s">
        <v>262</v>
      </c>
      <c r="C203" s="3" t="str">
        <f aca="false">MONTH(A203)&amp;"月"</f>
        <v>9月</v>
      </c>
      <c r="D203" s="4" t="s">
        <v>43</v>
      </c>
      <c r="E203" s="3" t="s">
        <v>13</v>
      </c>
      <c r="F203" s="3" t="s">
        <v>137</v>
      </c>
      <c r="G203" s="5" t="n">
        <v>1</v>
      </c>
      <c r="H203" s="6" t="n">
        <v>32800</v>
      </c>
      <c r="I203" s="7" t="n">
        <f aca="false">G203*H203</f>
        <v>32800</v>
      </c>
      <c r="J203" s="4" t="s">
        <v>26</v>
      </c>
      <c r="K203" s="4" t="s">
        <v>44</v>
      </c>
    </row>
    <row r="204" customFormat="false" ht="15" hidden="false" customHeight="false" outlineLevel="0" collapsed="false">
      <c r="A204" s="2" t="n">
        <v>46272</v>
      </c>
      <c r="B204" s="3" t="s">
        <v>263</v>
      </c>
      <c r="C204" s="3" t="str">
        <f aca="false">MONTH(A204)&amp;"月"</f>
        <v>9月</v>
      </c>
      <c r="D204" s="4" t="s">
        <v>12</v>
      </c>
      <c r="E204" s="3" t="s">
        <v>13</v>
      </c>
      <c r="F204" s="3" t="s">
        <v>14</v>
      </c>
      <c r="G204" s="5" t="n">
        <v>2</v>
      </c>
      <c r="H204" s="6" t="n">
        <v>4980</v>
      </c>
      <c r="I204" s="7" t="n">
        <f aca="false">G204*H204</f>
        <v>9960</v>
      </c>
      <c r="J204" s="4" t="s">
        <v>26</v>
      </c>
      <c r="K204" s="4" t="s">
        <v>16</v>
      </c>
    </row>
    <row r="205" customFormat="false" ht="15" hidden="false" customHeight="false" outlineLevel="0" collapsed="false">
      <c r="A205" s="2" t="n">
        <v>46272</v>
      </c>
      <c r="B205" s="3" t="s">
        <v>264</v>
      </c>
      <c r="C205" s="3" t="str">
        <f aca="false">MONTH(A205)&amp;"月"</f>
        <v>9月</v>
      </c>
      <c r="D205" s="4" t="s">
        <v>65</v>
      </c>
      <c r="E205" s="4" t="s">
        <v>19</v>
      </c>
      <c r="F205" s="4" t="s">
        <v>20</v>
      </c>
      <c r="G205" s="5" t="n">
        <v>6</v>
      </c>
      <c r="H205" s="6" t="n">
        <v>3150</v>
      </c>
      <c r="I205" s="7" t="n">
        <f aca="false">G205*H205</f>
        <v>18900</v>
      </c>
      <c r="J205" s="4" t="s">
        <v>15</v>
      </c>
      <c r="K205" s="4" t="s">
        <v>66</v>
      </c>
    </row>
    <row r="206" customFormat="false" ht="15" hidden="false" customHeight="false" outlineLevel="0" collapsed="false">
      <c r="A206" s="2" t="n">
        <v>46273</v>
      </c>
      <c r="B206" s="3" t="s">
        <v>265</v>
      </c>
      <c r="C206" s="3" t="str">
        <f aca="false">MONTH(A206)&amp;"月"</f>
        <v>9月</v>
      </c>
      <c r="D206" s="4" t="s">
        <v>39</v>
      </c>
      <c r="E206" s="4" t="s">
        <v>19</v>
      </c>
      <c r="F206" s="4" t="s">
        <v>25</v>
      </c>
      <c r="G206" s="5" t="n">
        <v>2</v>
      </c>
      <c r="H206" s="6" t="n">
        <v>1980</v>
      </c>
      <c r="I206" s="7" t="n">
        <f aca="false">G206*H206</f>
        <v>3960</v>
      </c>
      <c r="J206" s="4" t="s">
        <v>26</v>
      </c>
      <c r="K206" s="4" t="s">
        <v>41</v>
      </c>
    </row>
    <row r="207" customFormat="false" ht="15" hidden="false" customHeight="false" outlineLevel="0" collapsed="false">
      <c r="A207" s="2" t="n">
        <v>46276</v>
      </c>
      <c r="B207" s="3" t="s">
        <v>266</v>
      </c>
      <c r="C207" s="3" t="str">
        <f aca="false">MONTH(A207)&amp;"月"</f>
        <v>9月</v>
      </c>
      <c r="D207" s="4" t="s">
        <v>29</v>
      </c>
      <c r="E207" s="4" t="s">
        <v>33</v>
      </c>
      <c r="F207" s="4" t="s">
        <v>47</v>
      </c>
      <c r="G207" s="5" t="n">
        <v>6</v>
      </c>
      <c r="H207" s="6" t="n">
        <v>1320</v>
      </c>
      <c r="I207" s="7" t="n">
        <f aca="false">G207*H207</f>
        <v>7920</v>
      </c>
      <c r="J207" s="4" t="s">
        <v>26</v>
      </c>
      <c r="K207" s="4" t="s">
        <v>31</v>
      </c>
    </row>
    <row r="208" customFormat="false" ht="15" hidden="false" customHeight="false" outlineLevel="0" collapsed="false">
      <c r="A208" s="2" t="n">
        <v>46280</v>
      </c>
      <c r="B208" s="3" t="s">
        <v>267</v>
      </c>
      <c r="C208" s="3" t="str">
        <f aca="false">MONTH(A208)&amp;"月"</f>
        <v>9月</v>
      </c>
      <c r="D208" s="4" t="s">
        <v>29</v>
      </c>
      <c r="E208" s="4" t="s">
        <v>33</v>
      </c>
      <c r="F208" s="4" t="s">
        <v>52</v>
      </c>
      <c r="G208" s="5" t="n">
        <v>6</v>
      </c>
      <c r="H208" s="6" t="n">
        <v>420</v>
      </c>
      <c r="I208" s="7" t="n">
        <f aca="false">G208*H208</f>
        <v>2520</v>
      </c>
      <c r="J208" s="4" t="s">
        <v>26</v>
      </c>
      <c r="K208" s="4" t="s">
        <v>60</v>
      </c>
    </row>
    <row r="209" customFormat="false" ht="15" hidden="false" customHeight="false" outlineLevel="0" collapsed="false">
      <c r="A209" s="2" t="n">
        <v>46281</v>
      </c>
      <c r="B209" s="3" t="s">
        <v>268</v>
      </c>
      <c r="C209" s="3" t="str">
        <f aca="false">MONTH(A209)&amp;"月"</f>
        <v>9月</v>
      </c>
      <c r="D209" s="4" t="s">
        <v>39</v>
      </c>
      <c r="E209" s="4" t="s">
        <v>33</v>
      </c>
      <c r="F209" s="4" t="s">
        <v>49</v>
      </c>
      <c r="G209" s="5" t="n">
        <v>6</v>
      </c>
      <c r="H209" s="6" t="n">
        <v>1650</v>
      </c>
      <c r="I209" s="7" t="n">
        <f aca="false">G209*H209</f>
        <v>9900</v>
      </c>
      <c r="J209" s="4" t="s">
        <v>26</v>
      </c>
      <c r="K209" s="4" t="s">
        <v>41</v>
      </c>
    </row>
    <row r="210" customFormat="false" ht="15" hidden="false" customHeight="false" outlineLevel="0" collapsed="false">
      <c r="A210" s="2" t="n">
        <v>46281</v>
      </c>
      <c r="B210" s="3" t="s">
        <v>269</v>
      </c>
      <c r="C210" s="3" t="str">
        <f aca="false">MONTH(A210)&amp;"月"</f>
        <v>9月</v>
      </c>
      <c r="D210" s="4" t="s">
        <v>18</v>
      </c>
      <c r="E210" s="3" t="s">
        <v>13</v>
      </c>
      <c r="F210" s="4" t="s">
        <v>30</v>
      </c>
      <c r="G210" s="5" t="n">
        <v>3</v>
      </c>
      <c r="H210" s="6" t="n">
        <v>3980</v>
      </c>
      <c r="I210" s="7" t="n">
        <f aca="false">G210*H210</f>
        <v>11940</v>
      </c>
      <c r="J210" s="4" t="s">
        <v>26</v>
      </c>
      <c r="K210" s="4" t="s">
        <v>22</v>
      </c>
    </row>
    <row r="211" customFormat="false" ht="15" hidden="false" customHeight="false" outlineLevel="0" collapsed="false">
      <c r="A211" s="2" t="n">
        <v>46281</v>
      </c>
      <c r="B211" s="3" t="s">
        <v>270</v>
      </c>
      <c r="C211" s="3" t="str">
        <f aca="false">MONTH(A211)&amp;"月"</f>
        <v>9月</v>
      </c>
      <c r="D211" s="4" t="s">
        <v>18</v>
      </c>
      <c r="E211" s="4" t="s">
        <v>33</v>
      </c>
      <c r="F211" s="3" t="s">
        <v>70</v>
      </c>
      <c r="G211" s="5" t="n">
        <v>1</v>
      </c>
      <c r="H211" s="6" t="n">
        <v>2480</v>
      </c>
      <c r="I211" s="7" t="n">
        <f aca="false">G211*H211</f>
        <v>2480</v>
      </c>
      <c r="J211" s="4" t="s">
        <v>26</v>
      </c>
      <c r="K211" s="4" t="s">
        <v>22</v>
      </c>
    </row>
    <row r="212" customFormat="false" ht="15" hidden="false" customHeight="false" outlineLevel="0" collapsed="false">
      <c r="A212" s="2" t="n">
        <v>46282</v>
      </c>
      <c r="B212" s="3" t="s">
        <v>271</v>
      </c>
      <c r="C212" s="3" t="str">
        <f aca="false">MONTH(A212)&amp;"月"</f>
        <v>9月</v>
      </c>
      <c r="D212" s="4" t="s">
        <v>54</v>
      </c>
      <c r="E212" s="4" t="s">
        <v>19</v>
      </c>
      <c r="F212" s="4" t="s">
        <v>20</v>
      </c>
      <c r="G212" s="5" t="n">
        <v>10</v>
      </c>
      <c r="H212" s="6" t="n">
        <v>3150</v>
      </c>
      <c r="I212" s="7" t="n">
        <f aca="false">G212*H212</f>
        <v>31500</v>
      </c>
      <c r="J212" s="4" t="s">
        <v>21</v>
      </c>
      <c r="K212" s="4" t="s">
        <v>55</v>
      </c>
    </row>
    <row r="213" customFormat="false" ht="15" hidden="false" customHeight="false" outlineLevel="0" collapsed="false">
      <c r="A213" s="2" t="n">
        <v>46282</v>
      </c>
      <c r="B213" s="3" t="s">
        <v>272</v>
      </c>
      <c r="C213" s="3" t="str">
        <f aca="false">MONTH(A213)&amp;"月"</f>
        <v>9月</v>
      </c>
      <c r="D213" s="4" t="s">
        <v>54</v>
      </c>
      <c r="E213" s="3" t="s">
        <v>13</v>
      </c>
      <c r="F213" s="3" t="s">
        <v>40</v>
      </c>
      <c r="G213" s="5" t="n">
        <v>6</v>
      </c>
      <c r="H213" s="6" t="n">
        <v>6480</v>
      </c>
      <c r="I213" s="7" t="n">
        <f aca="false">G213*H213</f>
        <v>38880</v>
      </c>
      <c r="J213" s="4" t="s">
        <v>21</v>
      </c>
      <c r="K213" s="4" t="s">
        <v>55</v>
      </c>
    </row>
    <row r="214" customFormat="false" ht="15" hidden="false" customHeight="false" outlineLevel="0" collapsed="false">
      <c r="A214" s="2" t="n">
        <v>46282</v>
      </c>
      <c r="B214" s="3" t="s">
        <v>273</v>
      </c>
      <c r="C214" s="3" t="str">
        <f aca="false">MONTH(A214)&amp;"月"</f>
        <v>9月</v>
      </c>
      <c r="D214" s="4" t="s">
        <v>39</v>
      </c>
      <c r="E214" s="4" t="s">
        <v>33</v>
      </c>
      <c r="F214" s="4" t="s">
        <v>49</v>
      </c>
      <c r="G214" s="5" t="n">
        <v>1</v>
      </c>
      <c r="H214" s="6" t="n">
        <v>1650</v>
      </c>
      <c r="I214" s="7" t="n">
        <f aca="false">G214*H214</f>
        <v>1650</v>
      </c>
      <c r="J214" s="4" t="s">
        <v>26</v>
      </c>
      <c r="K214" s="4" t="s">
        <v>41</v>
      </c>
    </row>
    <row r="215" customFormat="false" ht="15" hidden="false" customHeight="false" outlineLevel="0" collapsed="false">
      <c r="A215" s="2" t="n">
        <v>46283</v>
      </c>
      <c r="B215" s="3" t="s">
        <v>274</v>
      </c>
      <c r="C215" s="3" t="str">
        <f aca="false">MONTH(A215)&amp;"月"</f>
        <v>9月</v>
      </c>
      <c r="D215" s="4" t="s">
        <v>39</v>
      </c>
      <c r="E215" s="4" t="s">
        <v>33</v>
      </c>
      <c r="F215" s="4" t="s">
        <v>47</v>
      </c>
      <c r="G215" s="5" t="n">
        <v>4</v>
      </c>
      <c r="H215" s="6" t="n">
        <v>1320</v>
      </c>
      <c r="I215" s="7" t="n">
        <f aca="false">G215*H215</f>
        <v>5280</v>
      </c>
      <c r="J215" s="4" t="s">
        <v>21</v>
      </c>
      <c r="K215" s="4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9" min="2" style="0" width="11"/>
  </cols>
  <sheetData>
    <row r="1" customFormat="false" ht="21.6" hidden="false" customHeight="false" outlineLevel="0" collapsed="false">
      <c r="A1" s="8" t="s">
        <v>275</v>
      </c>
    </row>
    <row r="2" customFormat="false" ht="15" hidden="false" customHeight="false" outlineLevel="0" collapsed="false">
      <c r="A2" s="9" t="s">
        <v>276</v>
      </c>
    </row>
    <row r="4" customFormat="false" ht="15" hidden="false" customHeight="false" outlineLevel="0" collapsed="false">
      <c r="A4" s="10" t="s">
        <v>277</v>
      </c>
    </row>
    <row r="5" customFormat="false" ht="17.15" hidden="false" customHeight="false" outlineLevel="0" collapsed="false">
      <c r="A5" s="11" t="s">
        <v>3</v>
      </c>
      <c r="B5" s="11" t="s">
        <v>278</v>
      </c>
      <c r="C5" s="12" t="s">
        <v>279</v>
      </c>
      <c r="D5" s="12" t="s">
        <v>280</v>
      </c>
      <c r="E5" s="12" t="s">
        <v>281</v>
      </c>
      <c r="F5" s="12" t="s">
        <v>282</v>
      </c>
      <c r="G5" s="12" t="s">
        <v>283</v>
      </c>
      <c r="H5" s="12" t="s">
        <v>284</v>
      </c>
      <c r="I5" s="11" t="s">
        <v>285</v>
      </c>
    </row>
    <row r="6" customFormat="false" ht="15" hidden="false" customHeight="false" outlineLevel="0" collapsed="false">
      <c r="A6" s="13" t="s">
        <v>12</v>
      </c>
      <c r="B6" s="14" t="n">
        <v>70000</v>
      </c>
      <c r="C6" s="15" t="n">
        <f aca="false">SUMIFS(発注明細!$I:$I,発注明細!$D:$D,$A6,発注明細!$C:$C,C$5)</f>
        <v>162500</v>
      </c>
      <c r="D6" s="15" t="n">
        <f aca="false">SUMIFS(発注明細!$I:$I,発注明細!$D:$D,$A6,発注明細!$C:$C,D$5)</f>
        <v>78000</v>
      </c>
      <c r="E6" s="15" t="n">
        <f aca="false">SUMIFS(発注明細!$I:$I,発注明細!$D:$D,$A6,発注明細!$C:$C,E$5)</f>
        <v>62860</v>
      </c>
      <c r="F6" s="15" t="n">
        <f aca="false">SUMIFS(発注明細!$I:$I,発注明細!$D:$D,$A6,発注明細!$C:$C,F$5)</f>
        <v>87870</v>
      </c>
      <c r="G6" s="15" t="n">
        <f aca="false">SUMIFS(発注明細!$I:$I,発注明細!$D:$D,$A6,発注明細!$C:$C,G$5)</f>
        <v>106340</v>
      </c>
      <c r="H6" s="15" t="n">
        <f aca="false">SUMIFS(発注明細!$I:$I,発注明細!$D:$D,$A6,発注明細!$C:$C,H$5)</f>
        <v>29880</v>
      </c>
      <c r="I6" s="15" t="n">
        <f aca="false">SUM(C6:H6)</f>
        <v>527450</v>
      </c>
    </row>
    <row r="7" customFormat="false" ht="15" hidden="false" customHeight="false" outlineLevel="0" collapsed="false">
      <c r="A7" s="13" t="s">
        <v>39</v>
      </c>
      <c r="B7" s="14" t="n">
        <v>120000</v>
      </c>
      <c r="C7" s="15" t="n">
        <f aca="false">SUMIFS(発注明細!$I:$I,発注明細!$D:$D,$A7,発注明細!$C:$C,C$5)</f>
        <v>204860</v>
      </c>
      <c r="D7" s="15" t="n">
        <f aca="false">SUMIFS(発注明細!$I:$I,発注明細!$D:$D,$A7,発注明細!$C:$C,D$5)</f>
        <v>82880</v>
      </c>
      <c r="E7" s="15" t="n">
        <f aca="false">SUMIFS(発注明細!$I:$I,発注明細!$D:$D,$A7,発注明細!$C:$C,E$5)</f>
        <v>126200</v>
      </c>
      <c r="F7" s="15" t="n">
        <f aca="false">SUMIFS(発注明細!$I:$I,発注明細!$D:$D,$A7,発注明細!$C:$C,F$5)</f>
        <v>155210</v>
      </c>
      <c r="G7" s="15" t="n">
        <f aca="false">SUMIFS(発注明細!$I:$I,発注明細!$D:$D,$A7,発注明細!$C:$C,G$5)</f>
        <v>68960</v>
      </c>
      <c r="H7" s="15" t="n">
        <f aca="false">SUMIFS(発注明細!$I:$I,発注明細!$D:$D,$A7,発注明細!$C:$C,H$5)</f>
        <v>29040</v>
      </c>
      <c r="I7" s="15" t="n">
        <f aca="false">SUM(C7:H7)</f>
        <v>667150</v>
      </c>
    </row>
    <row r="8" customFormat="false" ht="15" hidden="false" customHeight="false" outlineLevel="0" collapsed="false">
      <c r="A8" s="13" t="s">
        <v>29</v>
      </c>
      <c r="B8" s="14" t="n">
        <v>70000</v>
      </c>
      <c r="C8" s="15" t="n">
        <f aca="false">SUMIFS(発注明細!$I:$I,発注明細!$D:$D,$A8,発注明細!$C:$C,C$5)</f>
        <v>64480</v>
      </c>
      <c r="D8" s="15" t="n">
        <f aca="false">SUMIFS(発注明細!$I:$I,発注明細!$D:$D,$A8,発注明細!$C:$C,D$5)</f>
        <v>214400</v>
      </c>
      <c r="E8" s="15" t="n">
        <f aca="false">SUMIFS(発注明細!$I:$I,発注明細!$D:$D,$A8,発注明細!$C:$C,E$5)</f>
        <v>129720</v>
      </c>
      <c r="F8" s="15" t="n">
        <f aca="false">SUMIFS(発注明細!$I:$I,発注明細!$D:$D,$A8,発注明細!$C:$C,F$5)</f>
        <v>180210</v>
      </c>
      <c r="G8" s="15" t="n">
        <f aca="false">SUMIFS(発注明細!$I:$I,発注明細!$D:$D,$A8,発注明細!$C:$C,G$5)</f>
        <v>131300</v>
      </c>
      <c r="H8" s="15" t="n">
        <f aca="false">SUMIFS(発注明細!$I:$I,発注明細!$D:$D,$A8,発注明細!$C:$C,H$5)</f>
        <v>12090</v>
      </c>
      <c r="I8" s="15" t="n">
        <f aca="false">SUM(C8:H8)</f>
        <v>732200</v>
      </c>
    </row>
    <row r="9" customFormat="false" ht="15" hidden="false" customHeight="false" outlineLevel="0" collapsed="false">
      <c r="A9" s="13" t="s">
        <v>54</v>
      </c>
      <c r="B9" s="14" t="n">
        <v>70000</v>
      </c>
      <c r="C9" s="15" t="n">
        <f aca="false">SUMIFS(発注明細!$I:$I,発注明細!$D:$D,$A9,発注明細!$C:$C,C$5)</f>
        <v>19800</v>
      </c>
      <c r="D9" s="15" t="n">
        <f aca="false">SUMIFS(発注明細!$I:$I,発注明細!$D:$D,$A9,発注明細!$C:$C,D$5)</f>
        <v>67280</v>
      </c>
      <c r="E9" s="15" t="n">
        <f aca="false">SUMIFS(発注明細!$I:$I,発注明細!$D:$D,$A9,発注明細!$C:$C,E$5)</f>
        <v>17080</v>
      </c>
      <c r="F9" s="15" t="n">
        <f aca="false">SUMIFS(発注明細!$I:$I,発注明細!$D:$D,$A9,発注明細!$C:$C,F$5)</f>
        <v>65820</v>
      </c>
      <c r="G9" s="15" t="n">
        <f aca="false">SUMIFS(発注明細!$I:$I,発注明細!$D:$D,$A9,発注明細!$C:$C,G$5)</f>
        <v>4960</v>
      </c>
      <c r="H9" s="15" t="n">
        <f aca="false">SUMIFS(発注明細!$I:$I,発注明細!$D:$D,$A9,発注明細!$C:$C,H$5)</f>
        <v>80300</v>
      </c>
      <c r="I9" s="15" t="n">
        <f aca="false">SUM(C9:H9)</f>
        <v>255240</v>
      </c>
    </row>
    <row r="10" customFormat="false" ht="15" hidden="false" customHeight="false" outlineLevel="0" collapsed="false">
      <c r="A10" s="13" t="s">
        <v>24</v>
      </c>
      <c r="B10" s="14" t="n">
        <v>60000</v>
      </c>
      <c r="C10" s="15" t="n">
        <f aca="false">SUMIFS(発注明細!$I:$I,発注明細!$D:$D,$A10,発注明細!$C:$C,C$5)</f>
        <v>62880</v>
      </c>
      <c r="D10" s="15" t="n">
        <f aca="false">SUMIFS(発注明細!$I:$I,発注明細!$D:$D,$A10,発注明細!$C:$C,D$5)</f>
        <v>9360</v>
      </c>
      <c r="E10" s="15" t="n">
        <f aca="false">SUMIFS(発注明細!$I:$I,発注明細!$D:$D,$A10,発注明細!$C:$C,E$5)</f>
        <v>135100</v>
      </c>
      <c r="F10" s="15" t="n">
        <f aca="false">SUMIFS(発注明細!$I:$I,発注明細!$D:$D,$A10,発注明細!$C:$C,F$5)</f>
        <v>39040</v>
      </c>
      <c r="G10" s="15" t="n">
        <f aca="false">SUMIFS(発注明細!$I:$I,発注明細!$D:$D,$A10,発注明細!$C:$C,G$5)</f>
        <v>36480</v>
      </c>
      <c r="H10" s="15" t="n">
        <f aca="false">SUMIFS(発注明細!$I:$I,発注明細!$D:$D,$A10,発注明細!$C:$C,H$5)</f>
        <v>29880</v>
      </c>
      <c r="I10" s="15" t="n">
        <f aca="false">SUM(C10:H10)</f>
        <v>312740</v>
      </c>
    </row>
    <row r="11" customFormat="false" ht="15" hidden="false" customHeight="false" outlineLevel="0" collapsed="false">
      <c r="A11" s="13" t="s">
        <v>18</v>
      </c>
      <c r="B11" s="14" t="n">
        <v>60000</v>
      </c>
      <c r="C11" s="15" t="n">
        <f aca="false">SUMIFS(発注明細!$I:$I,発注明細!$D:$D,$A11,発注明細!$C:$C,C$5)</f>
        <v>41070</v>
      </c>
      <c r="D11" s="15" t="n">
        <f aca="false">SUMIFS(発注明細!$I:$I,発注明細!$D:$D,$A11,発注明細!$C:$C,D$5)</f>
        <v>133980</v>
      </c>
      <c r="E11" s="15" t="n">
        <f aca="false">SUMIFS(発注明細!$I:$I,発注明細!$D:$D,$A11,発注明細!$C:$C,E$5)</f>
        <v>16590</v>
      </c>
      <c r="F11" s="15" t="n">
        <f aca="false">SUMIFS(発注明細!$I:$I,発注明細!$D:$D,$A11,発注明細!$C:$C,F$5)</f>
        <v>24600</v>
      </c>
      <c r="G11" s="15" t="n">
        <f aca="false">SUMIFS(発注明細!$I:$I,発注明細!$D:$D,$A11,発注明細!$C:$C,G$5)</f>
        <v>11420</v>
      </c>
      <c r="H11" s="15" t="n">
        <f aca="false">SUMIFS(発注明細!$I:$I,発注明細!$D:$D,$A11,発注明細!$C:$C,H$5)</f>
        <v>29300</v>
      </c>
      <c r="I11" s="15" t="n">
        <f aca="false">SUM(C11:H11)</f>
        <v>256960</v>
      </c>
    </row>
    <row r="12" customFormat="false" ht="15" hidden="false" customHeight="false" outlineLevel="0" collapsed="false">
      <c r="A12" s="13" t="s">
        <v>65</v>
      </c>
      <c r="B12" s="14" t="n">
        <v>50000</v>
      </c>
      <c r="C12" s="15" t="n">
        <f aca="false">SUMIFS(発注明細!$I:$I,発注明細!$D:$D,$A12,発注明細!$C:$C,C$5)</f>
        <v>73320</v>
      </c>
      <c r="D12" s="15" t="n">
        <f aca="false">SUMIFS(発注明細!$I:$I,発注明細!$D:$D,$A12,発注明細!$C:$C,D$5)</f>
        <v>68580</v>
      </c>
      <c r="E12" s="15" t="n">
        <f aca="false">SUMIFS(発注明細!$I:$I,発注明細!$D:$D,$A12,発注明細!$C:$C,E$5)</f>
        <v>16920</v>
      </c>
      <c r="F12" s="15" t="n">
        <f aca="false">SUMIFS(発注明細!$I:$I,発注明細!$D:$D,$A12,発注明細!$C:$C,F$5)</f>
        <v>52840</v>
      </c>
      <c r="G12" s="15" t="n">
        <f aca="false">SUMIFS(発注明細!$I:$I,発注明細!$D:$D,$A12,発注明細!$C:$C,G$5)</f>
        <v>35380</v>
      </c>
      <c r="H12" s="15" t="n">
        <f aca="false">SUMIFS(発注明細!$I:$I,発注明細!$D:$D,$A12,発注明細!$C:$C,H$5)</f>
        <v>18900</v>
      </c>
      <c r="I12" s="15" t="n">
        <f aca="false">SUM(C12:H12)</f>
        <v>265940</v>
      </c>
    </row>
    <row r="13" customFormat="false" ht="15" hidden="false" customHeight="false" outlineLevel="0" collapsed="false">
      <c r="A13" s="13" t="s">
        <v>43</v>
      </c>
      <c r="B13" s="14" t="n">
        <v>55000</v>
      </c>
      <c r="C13" s="15" t="n">
        <f aca="false">SUMIFS(発注明細!$I:$I,発注明細!$D:$D,$A13,発注明細!$C:$C,C$5)</f>
        <v>40720</v>
      </c>
      <c r="D13" s="15" t="n">
        <f aca="false">SUMIFS(発注明細!$I:$I,発注明細!$D:$D,$A13,発注明細!$C:$C,D$5)</f>
        <v>26520</v>
      </c>
      <c r="E13" s="15" t="n">
        <f aca="false">SUMIFS(発注明細!$I:$I,発注明細!$D:$D,$A13,発注明細!$C:$C,E$5)</f>
        <v>420</v>
      </c>
      <c r="F13" s="15" t="n">
        <f aca="false">SUMIFS(発注明細!$I:$I,発注明細!$D:$D,$A13,発注明細!$C:$C,F$5)</f>
        <v>21300</v>
      </c>
      <c r="G13" s="15" t="n">
        <f aca="false">SUMIFS(発注明細!$I:$I,発注明細!$D:$D,$A13,発注明細!$C:$C,G$5)</f>
        <v>173890</v>
      </c>
      <c r="H13" s="15" t="n">
        <f aca="false">SUMIFS(発注明細!$I:$I,発注明細!$D:$D,$A13,発注明細!$C:$C,H$5)</f>
        <v>45760</v>
      </c>
      <c r="I13" s="15" t="n">
        <f aca="false">SUM(C13:H13)</f>
        <v>308610</v>
      </c>
    </row>
    <row r="14" customFormat="false" ht="15" hidden="false" customHeight="false" outlineLevel="0" collapsed="false">
      <c r="A14" s="10" t="s">
        <v>286</v>
      </c>
      <c r="B14" s="16" t="n">
        <f aca="false">SUM(B6:B13)</f>
        <v>555000</v>
      </c>
      <c r="C14" s="16" t="n">
        <f aca="false">SUM(C6:C13)</f>
        <v>669630</v>
      </c>
      <c r="D14" s="16" t="n">
        <f aca="false">SUM(D6:D13)</f>
        <v>681000</v>
      </c>
      <c r="E14" s="16" t="n">
        <f aca="false">SUM(E6:E13)</f>
        <v>504890</v>
      </c>
      <c r="F14" s="16" t="n">
        <f aca="false">SUM(F6:F13)</f>
        <v>626890</v>
      </c>
      <c r="G14" s="16" t="n">
        <f aca="false">SUM(G6:G13)</f>
        <v>568730</v>
      </c>
      <c r="H14" s="16" t="n">
        <f aca="false">SUM(H6:H13)</f>
        <v>275150</v>
      </c>
      <c r="I14" s="16" t="n">
        <f aca="false">SUM(I6:I13)</f>
        <v>3326290</v>
      </c>
    </row>
    <row r="15" customFormat="false" ht="15" hidden="false" customHeight="false" outlineLevel="0" collapsed="false">
      <c r="A15" s="13"/>
      <c r="B15" s="13"/>
      <c r="C15" s="13"/>
      <c r="D15" s="13"/>
      <c r="E15" s="13"/>
      <c r="F15" s="13"/>
      <c r="G15" s="13"/>
      <c r="H15" s="13"/>
      <c r="I15" s="13"/>
    </row>
    <row r="16" customFormat="false" ht="17.15" hidden="false" customHeight="false" outlineLevel="0" collapsed="false">
      <c r="A16" s="10" t="s">
        <v>287</v>
      </c>
      <c r="B16" s="13"/>
      <c r="C16" s="13"/>
      <c r="D16" s="13"/>
      <c r="E16" s="13"/>
      <c r="F16" s="13"/>
      <c r="G16" s="13"/>
      <c r="H16" s="13"/>
      <c r="I16" s="13"/>
    </row>
    <row r="17" customFormat="false" ht="17.15" hidden="false" customHeight="false" outlineLevel="0" collapsed="false">
      <c r="A17" s="17" t="s">
        <v>3</v>
      </c>
      <c r="B17" s="18"/>
      <c r="C17" s="19" t="s">
        <v>279</v>
      </c>
      <c r="D17" s="19" t="s">
        <v>280</v>
      </c>
      <c r="E17" s="19" t="s">
        <v>281</v>
      </c>
      <c r="F17" s="19" t="s">
        <v>282</v>
      </c>
      <c r="G17" s="19" t="s">
        <v>283</v>
      </c>
      <c r="H17" s="19" t="s">
        <v>284</v>
      </c>
      <c r="I17" s="17" t="s">
        <v>288</v>
      </c>
    </row>
    <row r="18" customFormat="false" ht="15" hidden="false" customHeight="false" outlineLevel="0" collapsed="false">
      <c r="A18" s="13" t="str">
        <f aca="false">A6</f>
        <v>総務部</v>
      </c>
      <c r="B18" s="13"/>
      <c r="C18" s="20" t="n">
        <f aca="false">IF($B$6=0,0,C6/$B$6)</f>
        <v>2.32142857142857</v>
      </c>
      <c r="D18" s="20" t="n">
        <f aca="false">IF($B$6=0,0,D6/$B$6)</f>
        <v>1.11428571428571</v>
      </c>
      <c r="E18" s="20" t="n">
        <f aca="false">IF($B$6=0,0,E6/$B$6)</f>
        <v>0.898</v>
      </c>
      <c r="F18" s="20" t="n">
        <f aca="false">IF($B$6=0,0,F6/$B$6)</f>
        <v>1.25528571428571</v>
      </c>
      <c r="G18" s="20" t="n">
        <f aca="false">IF($B$6=0,0,G6/$B$6)</f>
        <v>1.51914285714286</v>
      </c>
      <c r="H18" s="20" t="n">
        <f aca="false">IF($B$6=0,0,H6/$B$6)</f>
        <v>0.426857142857143</v>
      </c>
      <c r="I18" s="20" t="n">
        <f aca="false">AVERAGE(C18:H18)</f>
        <v>1.25583333333333</v>
      </c>
    </row>
    <row r="19" customFormat="false" ht="15" hidden="false" customHeight="false" outlineLevel="0" collapsed="false">
      <c r="A19" s="13" t="str">
        <f aca="false">A7</f>
        <v>営業部</v>
      </c>
      <c r="B19" s="13"/>
      <c r="C19" s="20" t="n">
        <f aca="false">IF($B$7=0,0,C7/$B$7)</f>
        <v>1.70716666666667</v>
      </c>
      <c r="D19" s="20" t="n">
        <f aca="false">IF($B$7=0,0,D7/$B$7)</f>
        <v>0.690666666666667</v>
      </c>
      <c r="E19" s="20" t="n">
        <f aca="false">IF($B$7=0,0,E7/$B$7)</f>
        <v>1.05166666666667</v>
      </c>
      <c r="F19" s="20" t="n">
        <f aca="false">IF($B$7=0,0,F7/$B$7)</f>
        <v>1.29341666666667</v>
      </c>
      <c r="G19" s="20" t="n">
        <f aca="false">IF($B$7=0,0,G7/$B$7)</f>
        <v>0.574666666666667</v>
      </c>
      <c r="H19" s="20" t="n">
        <f aca="false">IF($B$7=0,0,H7/$B$7)</f>
        <v>0.242</v>
      </c>
      <c r="I19" s="20" t="n">
        <f aca="false">AVERAGE(C19:H19)</f>
        <v>0.926597222222222</v>
      </c>
    </row>
    <row r="20" customFormat="false" ht="15" hidden="false" customHeight="false" outlineLevel="0" collapsed="false">
      <c r="A20" s="13" t="str">
        <f aca="false">A8</f>
        <v>開発部</v>
      </c>
      <c r="B20" s="13"/>
      <c r="C20" s="20" t="n">
        <f aca="false">IF($B$8=0,0,C8/$B$8)</f>
        <v>0.921142857142857</v>
      </c>
      <c r="D20" s="20" t="n">
        <f aca="false">IF($B$8=0,0,D8/$B$8)</f>
        <v>3.06285714285714</v>
      </c>
      <c r="E20" s="20" t="n">
        <f aca="false">IF($B$8=0,0,E8/$B$8)</f>
        <v>1.85314285714286</v>
      </c>
      <c r="F20" s="20" t="n">
        <f aca="false">IF($B$8=0,0,F8/$B$8)</f>
        <v>2.57442857142857</v>
      </c>
      <c r="G20" s="20" t="n">
        <f aca="false">IF($B$8=0,0,G8/$B$8)</f>
        <v>1.87571428571429</v>
      </c>
      <c r="H20" s="20" t="n">
        <f aca="false">IF($B$8=0,0,H8/$B$8)</f>
        <v>0.172714285714286</v>
      </c>
      <c r="I20" s="20" t="n">
        <f aca="false">AVERAGE(C20:H20)</f>
        <v>1.74333333333333</v>
      </c>
    </row>
    <row r="21" customFormat="false" ht="15" hidden="false" customHeight="false" outlineLevel="0" collapsed="false">
      <c r="A21" s="13" t="str">
        <f aca="false">A9</f>
        <v>人事部</v>
      </c>
      <c r="B21" s="13"/>
      <c r="C21" s="20" t="n">
        <f aca="false">IF($B$9=0,0,C9/$B$9)</f>
        <v>0.282857142857143</v>
      </c>
      <c r="D21" s="20" t="n">
        <f aca="false">IF($B$9=0,0,D9/$B$9)</f>
        <v>0.961142857142857</v>
      </c>
      <c r="E21" s="20" t="n">
        <f aca="false">IF($B$9=0,0,E9/$B$9)</f>
        <v>0.244</v>
      </c>
      <c r="F21" s="20" t="n">
        <f aca="false">IF($B$9=0,0,F9/$B$9)</f>
        <v>0.940285714285714</v>
      </c>
      <c r="G21" s="20" t="n">
        <f aca="false">IF($B$9=0,0,G9/$B$9)</f>
        <v>0.0708571428571429</v>
      </c>
      <c r="H21" s="20" t="n">
        <f aca="false">IF($B$9=0,0,H9/$B$9)</f>
        <v>1.14714285714286</v>
      </c>
      <c r="I21" s="20" t="n">
        <f aca="false">AVERAGE(C21:H21)</f>
        <v>0.607714285714286</v>
      </c>
    </row>
    <row r="22" customFormat="false" ht="15" hidden="false" customHeight="false" outlineLevel="0" collapsed="false">
      <c r="A22" s="13" t="str">
        <f aca="false">A10</f>
        <v>経理部</v>
      </c>
      <c r="B22" s="13"/>
      <c r="C22" s="20" t="n">
        <f aca="false">IF($B$10=0,0,C10/$B$10)</f>
        <v>1.048</v>
      </c>
      <c r="D22" s="20" t="n">
        <f aca="false">IF($B$10=0,0,D10/$B$10)</f>
        <v>0.156</v>
      </c>
      <c r="E22" s="20" t="n">
        <f aca="false">IF($B$10=0,0,E10/$B$10)</f>
        <v>2.25166666666667</v>
      </c>
      <c r="F22" s="20" t="n">
        <f aca="false">IF($B$10=0,0,F10/$B$10)</f>
        <v>0.650666666666667</v>
      </c>
      <c r="G22" s="20" t="n">
        <f aca="false">IF($B$10=0,0,G10/$B$10)</f>
        <v>0.608</v>
      </c>
      <c r="H22" s="20" t="n">
        <f aca="false">IF($B$10=0,0,H10/$B$10)</f>
        <v>0.498</v>
      </c>
      <c r="I22" s="20" t="n">
        <f aca="false">AVERAGE(C22:H22)</f>
        <v>0.868722222222222</v>
      </c>
    </row>
    <row r="23" customFormat="false" ht="15" hidden="false" customHeight="false" outlineLevel="0" collapsed="false">
      <c r="A23" s="13" t="str">
        <f aca="false">A11</f>
        <v>マーケティング部</v>
      </c>
      <c r="B23" s="13"/>
      <c r="C23" s="20" t="n">
        <f aca="false">IF($B$11=0,0,C11/$B$11)</f>
        <v>0.6845</v>
      </c>
      <c r="D23" s="20" t="n">
        <f aca="false">IF($B$11=0,0,D11/$B$11)</f>
        <v>2.233</v>
      </c>
      <c r="E23" s="20" t="n">
        <f aca="false">IF($B$11=0,0,E11/$B$11)</f>
        <v>0.2765</v>
      </c>
      <c r="F23" s="20" t="n">
        <f aca="false">IF($B$11=0,0,F11/$B$11)</f>
        <v>0.41</v>
      </c>
      <c r="G23" s="20" t="n">
        <f aca="false">IF($B$11=0,0,G11/$B$11)</f>
        <v>0.190333333333333</v>
      </c>
      <c r="H23" s="20" t="n">
        <f aca="false">IF($B$11=0,0,H11/$B$11)</f>
        <v>0.488333333333333</v>
      </c>
      <c r="I23" s="20" t="n">
        <f aca="false">AVERAGE(C23:H23)</f>
        <v>0.713777777777778</v>
      </c>
    </row>
    <row r="24" customFormat="false" ht="15" hidden="false" customHeight="false" outlineLevel="0" collapsed="false">
      <c r="A24" s="13" t="str">
        <f aca="false">A12</f>
        <v>情報システム部</v>
      </c>
      <c r="B24" s="13"/>
      <c r="C24" s="20" t="n">
        <f aca="false">IF($B$12=0,0,C12/$B$12)</f>
        <v>1.4664</v>
      </c>
      <c r="D24" s="20" t="n">
        <f aca="false">IF($B$12=0,0,D12/$B$12)</f>
        <v>1.3716</v>
      </c>
      <c r="E24" s="20" t="n">
        <f aca="false">IF($B$12=0,0,E12/$B$12)</f>
        <v>0.3384</v>
      </c>
      <c r="F24" s="20" t="n">
        <f aca="false">IF($B$12=0,0,F12/$B$12)</f>
        <v>1.0568</v>
      </c>
      <c r="G24" s="20" t="n">
        <f aca="false">IF($B$12=0,0,G12/$B$12)</f>
        <v>0.7076</v>
      </c>
      <c r="H24" s="20" t="n">
        <f aca="false">IF($B$12=0,0,H12/$B$12)</f>
        <v>0.378</v>
      </c>
      <c r="I24" s="20" t="n">
        <f aca="false">AVERAGE(C24:H24)</f>
        <v>0.886466666666667</v>
      </c>
    </row>
    <row r="25" customFormat="false" ht="15" hidden="false" customHeight="false" outlineLevel="0" collapsed="false">
      <c r="A25" s="13" t="str">
        <f aca="false">A13</f>
        <v>企画部</v>
      </c>
      <c r="B25" s="13"/>
      <c r="C25" s="20" t="n">
        <f aca="false">IF($B$13=0,0,C13/$B$13)</f>
        <v>0.740363636363636</v>
      </c>
      <c r="D25" s="20" t="n">
        <f aca="false">IF($B$13=0,0,D13/$B$13)</f>
        <v>0.482181818181818</v>
      </c>
      <c r="E25" s="20" t="n">
        <f aca="false">IF($B$13=0,0,E13/$B$13)</f>
        <v>0.00763636363636364</v>
      </c>
      <c r="F25" s="20" t="n">
        <f aca="false">IF($B$13=0,0,F13/$B$13)</f>
        <v>0.387272727272727</v>
      </c>
      <c r="G25" s="20" t="n">
        <f aca="false">IF($B$13=0,0,G13/$B$13)</f>
        <v>3.16163636363636</v>
      </c>
      <c r="H25" s="20" t="n">
        <f aca="false">IF($B$13=0,0,H13/$B$13)</f>
        <v>0.832</v>
      </c>
      <c r="I25" s="20" t="n">
        <f aca="false">AVERAGE(C25:H25)</f>
        <v>0.935181818181818</v>
      </c>
    </row>
  </sheetData>
  <conditionalFormatting sqref="C18:I25">
    <cfRule type="colorScale" priority="2">
      <colorScale>
        <cfvo type="num" val="0.5"/>
        <cfvo type="num" val="1"/>
        <cfvo type="num" val="1.5"/>
        <color rgb="FFE4ECE8"/>
        <color rgb="FFFFFFFF"/>
        <color rgb="FFE8A09A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2026-09-21T04:04:31Z</dcterms:created>
  <dc:creator>openpyxl</dc:creator>
  <dc:description/>
  <dc:language>en-US</dc:language>
  <cp:lastModifiedBy/>
  <dcterms:modified xsi:type="dcterms:W3CDTF">2026-09-21T04:04:31Z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